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eu Drive\Arquivos Escola PNNM\Meus projetos\GestaoEscolar\"/>
    </mc:Choice>
  </mc:AlternateContent>
  <bookViews>
    <workbookView xWindow="0" yWindow="0" windowWidth="24000" windowHeight="9480"/>
  </bookViews>
  <sheets>
    <sheet name="dados_coletados" sheetId="1" r:id="rId1"/>
    <sheet name="Planilha1" sheetId="2" r:id="rId2"/>
  </sheets>
  <calcPr calcId="162913"/>
</workbook>
</file>

<file path=xl/calcChain.xml><?xml version="1.0" encoding="utf-8"?>
<calcChain xmlns="http://schemas.openxmlformats.org/spreadsheetml/2006/main">
  <c r="I5" i="2" l="1"/>
  <c r="J5" i="2"/>
  <c r="I6" i="2"/>
  <c r="J6" i="2"/>
  <c r="I7" i="2"/>
  <c r="J7" i="2"/>
  <c r="I8" i="2"/>
  <c r="J8" i="2"/>
  <c r="I9" i="2"/>
  <c r="J9" i="2"/>
  <c r="I10" i="2"/>
  <c r="J10" i="2"/>
  <c r="I11" i="2"/>
  <c r="J11" i="2"/>
  <c r="I12" i="2"/>
  <c r="J12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I32" i="2"/>
  <c r="J32" i="2"/>
  <c r="I33" i="2"/>
  <c r="J33" i="2"/>
  <c r="I34" i="2"/>
  <c r="J34" i="2"/>
  <c r="I35" i="2"/>
  <c r="J35" i="2"/>
  <c r="I36" i="2"/>
  <c r="J36" i="2"/>
  <c r="I37" i="2"/>
  <c r="J37" i="2"/>
  <c r="I38" i="2"/>
  <c r="J38" i="2"/>
  <c r="I39" i="2"/>
  <c r="J39" i="2"/>
  <c r="I40" i="2"/>
  <c r="J40" i="2"/>
  <c r="I41" i="2"/>
  <c r="J41" i="2"/>
  <c r="I42" i="2"/>
  <c r="J42" i="2"/>
  <c r="I43" i="2"/>
  <c r="J43" i="2"/>
  <c r="I44" i="2"/>
  <c r="J44" i="2"/>
  <c r="I45" i="2"/>
  <c r="J45" i="2"/>
  <c r="I46" i="2"/>
  <c r="J46" i="2"/>
  <c r="I47" i="2"/>
  <c r="J47" i="2"/>
  <c r="I48" i="2"/>
  <c r="J48" i="2"/>
  <c r="I49" i="2"/>
  <c r="J49" i="2"/>
  <c r="I50" i="2"/>
  <c r="J50" i="2"/>
  <c r="I51" i="2"/>
  <c r="J51" i="2"/>
  <c r="I52" i="2"/>
  <c r="J52" i="2"/>
  <c r="I53" i="2"/>
  <c r="J53" i="2"/>
  <c r="I54" i="2"/>
  <c r="J54" i="2"/>
  <c r="I55" i="2"/>
  <c r="J55" i="2"/>
  <c r="I56" i="2"/>
  <c r="J56" i="2"/>
  <c r="I57" i="2"/>
  <c r="J57" i="2"/>
  <c r="I58" i="2"/>
  <c r="J58" i="2"/>
  <c r="I59" i="2"/>
  <c r="J59" i="2"/>
  <c r="I60" i="2"/>
  <c r="J60" i="2"/>
  <c r="I61" i="2"/>
  <c r="J61" i="2"/>
  <c r="I62" i="2"/>
  <c r="J62" i="2"/>
  <c r="I63" i="2"/>
  <c r="J63" i="2"/>
  <c r="I64" i="2"/>
  <c r="J64" i="2"/>
  <c r="I65" i="2"/>
  <c r="J65" i="2"/>
  <c r="I66" i="2"/>
  <c r="J66" i="2"/>
  <c r="I67" i="2"/>
  <c r="J67" i="2"/>
  <c r="I68" i="2"/>
  <c r="J68" i="2"/>
  <c r="I69" i="2"/>
  <c r="J69" i="2"/>
  <c r="I70" i="2"/>
  <c r="J70" i="2"/>
  <c r="I71" i="2"/>
  <c r="J71" i="2"/>
  <c r="I72" i="2"/>
  <c r="J72" i="2"/>
  <c r="I73" i="2"/>
  <c r="J73" i="2"/>
  <c r="I74" i="2"/>
  <c r="J74" i="2"/>
  <c r="I75" i="2"/>
  <c r="J75" i="2"/>
  <c r="I76" i="2"/>
  <c r="J76" i="2"/>
  <c r="I77" i="2"/>
  <c r="J77" i="2"/>
  <c r="I78" i="2"/>
  <c r="J78" i="2"/>
  <c r="I79" i="2"/>
  <c r="J79" i="2"/>
  <c r="I80" i="2"/>
  <c r="J80" i="2"/>
  <c r="I81" i="2"/>
  <c r="J81" i="2"/>
  <c r="I82" i="2"/>
  <c r="J82" i="2"/>
  <c r="I83" i="2"/>
  <c r="J83" i="2"/>
  <c r="I84" i="2"/>
  <c r="J84" i="2"/>
  <c r="I85" i="2"/>
  <c r="J85" i="2"/>
  <c r="I86" i="2"/>
  <c r="J86" i="2"/>
  <c r="I87" i="2"/>
  <c r="J87" i="2"/>
  <c r="I88" i="2"/>
  <c r="J88" i="2"/>
  <c r="I89" i="2"/>
  <c r="J89" i="2"/>
  <c r="I90" i="2"/>
  <c r="J90" i="2"/>
  <c r="I91" i="2"/>
  <c r="J91" i="2"/>
  <c r="I92" i="2"/>
  <c r="J92" i="2"/>
  <c r="I93" i="2"/>
  <c r="J93" i="2"/>
  <c r="I94" i="2"/>
  <c r="J94" i="2"/>
  <c r="I95" i="2"/>
  <c r="J95" i="2"/>
  <c r="I96" i="2"/>
  <c r="J96" i="2"/>
  <c r="I97" i="2"/>
  <c r="J97" i="2"/>
  <c r="I98" i="2"/>
  <c r="J98" i="2"/>
  <c r="I99" i="2"/>
  <c r="J99" i="2"/>
  <c r="I100" i="2"/>
  <c r="J100" i="2"/>
  <c r="I101" i="2"/>
  <c r="J101" i="2"/>
  <c r="I102" i="2"/>
  <c r="J102" i="2"/>
  <c r="I103" i="2"/>
  <c r="J103" i="2"/>
  <c r="I104" i="2"/>
  <c r="J104" i="2"/>
  <c r="I105" i="2"/>
  <c r="J105" i="2"/>
  <c r="I106" i="2"/>
  <c r="J106" i="2"/>
  <c r="I107" i="2"/>
  <c r="J107" i="2"/>
  <c r="I108" i="2"/>
  <c r="J108" i="2"/>
  <c r="I109" i="2"/>
  <c r="J109" i="2"/>
  <c r="I110" i="2"/>
  <c r="J110" i="2"/>
  <c r="I111" i="2"/>
  <c r="J111" i="2"/>
  <c r="I112" i="2"/>
  <c r="J112" i="2"/>
  <c r="I113" i="2"/>
  <c r="J113" i="2"/>
  <c r="I114" i="2"/>
  <c r="J114" i="2"/>
  <c r="I115" i="2"/>
  <c r="J115" i="2"/>
  <c r="I116" i="2"/>
  <c r="J116" i="2"/>
  <c r="I117" i="2"/>
  <c r="J117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32" i="2"/>
  <c r="J132" i="2"/>
  <c r="I133" i="2"/>
  <c r="J133" i="2"/>
  <c r="I134" i="2"/>
  <c r="J134" i="2"/>
  <c r="I135" i="2"/>
  <c r="J135" i="2"/>
  <c r="I136" i="2"/>
  <c r="J136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43" i="2"/>
  <c r="J143" i="2"/>
  <c r="I144" i="2"/>
  <c r="J144" i="2"/>
  <c r="I145" i="2"/>
  <c r="J145" i="2"/>
  <c r="I146" i="2"/>
  <c r="J146" i="2"/>
  <c r="I147" i="2"/>
  <c r="J147" i="2"/>
  <c r="I148" i="2"/>
  <c r="J148" i="2"/>
  <c r="I149" i="2"/>
  <c r="J149" i="2"/>
  <c r="I150" i="2"/>
  <c r="J150" i="2"/>
  <c r="I151" i="2"/>
  <c r="J151" i="2"/>
  <c r="I152" i="2"/>
  <c r="J152" i="2"/>
  <c r="I153" i="2"/>
  <c r="J153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188" i="2"/>
  <c r="J188" i="2"/>
  <c r="I189" i="2"/>
  <c r="J189" i="2"/>
  <c r="I190" i="2"/>
  <c r="J190" i="2"/>
  <c r="I191" i="2"/>
  <c r="J191" i="2"/>
  <c r="I192" i="2"/>
  <c r="J192" i="2"/>
  <c r="I193" i="2"/>
  <c r="J193" i="2"/>
  <c r="I194" i="2"/>
  <c r="J194" i="2"/>
  <c r="I195" i="2"/>
  <c r="J195" i="2"/>
  <c r="I196" i="2"/>
  <c r="J196" i="2"/>
  <c r="I197" i="2"/>
  <c r="J197" i="2"/>
  <c r="I198" i="2"/>
  <c r="J198" i="2"/>
  <c r="I199" i="2"/>
  <c r="J199" i="2"/>
  <c r="I200" i="2"/>
  <c r="J200" i="2"/>
  <c r="I201" i="2"/>
  <c r="J201" i="2"/>
  <c r="I202" i="2"/>
  <c r="J202" i="2"/>
  <c r="I203" i="2"/>
  <c r="J203" i="2"/>
  <c r="I204" i="2"/>
  <c r="J204" i="2"/>
  <c r="I205" i="2"/>
  <c r="J205" i="2"/>
  <c r="I206" i="2"/>
  <c r="J206" i="2"/>
  <c r="I207" i="2"/>
  <c r="J207" i="2"/>
  <c r="I208" i="2"/>
  <c r="J208" i="2"/>
  <c r="I209" i="2"/>
  <c r="J209" i="2"/>
  <c r="I210" i="2"/>
  <c r="J210" i="2"/>
  <c r="I211" i="2"/>
  <c r="J211" i="2"/>
  <c r="I212" i="2"/>
  <c r="J212" i="2"/>
  <c r="I213" i="2"/>
  <c r="J213" i="2"/>
  <c r="I214" i="2"/>
  <c r="J214" i="2"/>
  <c r="I215" i="2"/>
  <c r="J215" i="2"/>
  <c r="I216" i="2"/>
  <c r="J216" i="2"/>
  <c r="I217" i="2"/>
  <c r="J217" i="2"/>
  <c r="I218" i="2"/>
  <c r="J218" i="2"/>
  <c r="I219" i="2"/>
  <c r="J219" i="2"/>
  <c r="I220" i="2"/>
  <c r="J220" i="2"/>
  <c r="I221" i="2"/>
  <c r="J221" i="2"/>
  <c r="I222" i="2"/>
  <c r="J222" i="2"/>
  <c r="I223" i="2"/>
  <c r="J223" i="2"/>
  <c r="I224" i="2"/>
  <c r="J224" i="2"/>
  <c r="I225" i="2"/>
  <c r="J225" i="2"/>
  <c r="I226" i="2"/>
  <c r="J226" i="2"/>
  <c r="I227" i="2"/>
  <c r="J227" i="2"/>
  <c r="I228" i="2"/>
  <c r="J228" i="2"/>
  <c r="I229" i="2"/>
  <c r="J229" i="2"/>
  <c r="I230" i="2"/>
  <c r="J230" i="2"/>
  <c r="I231" i="2"/>
  <c r="J231" i="2"/>
  <c r="I232" i="2"/>
  <c r="J232" i="2"/>
  <c r="I233" i="2"/>
  <c r="J233" i="2"/>
  <c r="I234" i="2"/>
  <c r="J234" i="2"/>
  <c r="I235" i="2"/>
  <c r="J235" i="2"/>
  <c r="I236" i="2"/>
  <c r="J236" i="2"/>
  <c r="I237" i="2"/>
  <c r="J237" i="2"/>
  <c r="I238" i="2"/>
  <c r="J238" i="2"/>
  <c r="I239" i="2"/>
  <c r="J239" i="2"/>
  <c r="I240" i="2"/>
  <c r="J240" i="2"/>
  <c r="I241" i="2"/>
  <c r="J241" i="2"/>
  <c r="I242" i="2"/>
  <c r="J242" i="2"/>
  <c r="I243" i="2"/>
  <c r="J243" i="2"/>
  <c r="I244" i="2"/>
  <c r="J244" i="2"/>
  <c r="I245" i="2"/>
  <c r="J245" i="2"/>
  <c r="I246" i="2"/>
  <c r="J246" i="2"/>
  <c r="I247" i="2"/>
  <c r="J247" i="2"/>
  <c r="I248" i="2"/>
  <c r="J248" i="2"/>
  <c r="I249" i="2"/>
  <c r="J249" i="2"/>
  <c r="I250" i="2"/>
  <c r="J250" i="2"/>
  <c r="I251" i="2"/>
  <c r="J251" i="2"/>
  <c r="I252" i="2"/>
  <c r="J252" i="2"/>
  <c r="I253" i="2"/>
  <c r="J253" i="2"/>
  <c r="I254" i="2"/>
  <c r="J254" i="2"/>
  <c r="I255" i="2"/>
  <c r="J255" i="2"/>
  <c r="I256" i="2"/>
  <c r="J256" i="2"/>
  <c r="I257" i="2"/>
  <c r="J257" i="2"/>
  <c r="I258" i="2"/>
  <c r="J258" i="2"/>
  <c r="I259" i="2"/>
  <c r="J259" i="2"/>
  <c r="I260" i="2"/>
  <c r="J260" i="2"/>
  <c r="I261" i="2"/>
  <c r="J261" i="2"/>
  <c r="I262" i="2"/>
  <c r="J262" i="2"/>
  <c r="I263" i="2"/>
  <c r="J263" i="2"/>
  <c r="I264" i="2"/>
  <c r="J264" i="2"/>
  <c r="I265" i="2"/>
  <c r="J265" i="2"/>
  <c r="I266" i="2"/>
  <c r="J266" i="2"/>
  <c r="I267" i="2"/>
  <c r="J267" i="2"/>
  <c r="I268" i="2"/>
  <c r="J268" i="2"/>
  <c r="I269" i="2"/>
  <c r="J269" i="2"/>
  <c r="I270" i="2"/>
  <c r="J270" i="2"/>
  <c r="I271" i="2"/>
  <c r="J271" i="2"/>
  <c r="I272" i="2"/>
  <c r="J272" i="2"/>
  <c r="I273" i="2"/>
  <c r="J273" i="2"/>
  <c r="I274" i="2"/>
  <c r="J274" i="2"/>
  <c r="I275" i="2"/>
  <c r="J275" i="2"/>
  <c r="I276" i="2"/>
  <c r="J276" i="2"/>
  <c r="I277" i="2"/>
  <c r="J277" i="2"/>
  <c r="I278" i="2"/>
  <c r="J278" i="2"/>
  <c r="I279" i="2"/>
  <c r="J279" i="2"/>
  <c r="I280" i="2"/>
  <c r="J280" i="2"/>
  <c r="J4" i="2"/>
  <c r="I4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A3" i="2"/>
  <c r="B3" i="2"/>
  <c r="C3" i="2"/>
  <c r="D3" i="2"/>
  <c r="E3" i="2"/>
  <c r="F3" i="2"/>
  <c r="G3" i="2"/>
  <c r="H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I3" i="2"/>
  <c r="A2" i="2"/>
  <c r="B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</calcChain>
</file>

<file path=xl/sharedStrings.xml><?xml version="1.0" encoding="utf-8"?>
<sst xmlns="http://schemas.openxmlformats.org/spreadsheetml/2006/main" count="5069" uniqueCount="1393">
  <si>
    <t>6 ANO</t>
  </si>
  <si>
    <t>SSP MA</t>
  </si>
  <si>
    <t>Masculino</t>
  </si>
  <si>
    <t>(98) 9 9613 7804</t>
  </si>
  <si>
    <t>65.130-000</t>
  </si>
  <si>
    <t>AVENIDA JOSE BUHOFER</t>
  </si>
  <si>
    <t>AVENIDA</t>
  </si>
  <si>
    <t>VILA NAZARE</t>
  </si>
  <si>
    <t>MA</t>
  </si>
  <si>
    <t>Sim</t>
  </si>
  <si>
    <t>3 ANO</t>
  </si>
  <si>
    <t>Feminino</t>
  </si>
  <si>
    <t>(98) 9 8151 3038</t>
  </si>
  <si>
    <t>RUA A</t>
  </si>
  <si>
    <t>CP 38 CS 10 PS 8</t>
  </si>
  <si>
    <t>SITIO NATUREZA</t>
  </si>
  <si>
    <t>8 ANO</t>
  </si>
  <si>
    <t>AVENIDA HILTON ROCHA . QUADRA 33</t>
  </si>
  <si>
    <t>2 ANO</t>
  </si>
  <si>
    <t>(98) 9 8702 8832</t>
  </si>
  <si>
    <t>65.110-000</t>
  </si>
  <si>
    <t>AVENIDA 02</t>
  </si>
  <si>
    <t>VILA SARNEY FILHO</t>
  </si>
  <si>
    <t>5 ANO</t>
  </si>
  <si>
    <t>RUA 10</t>
  </si>
  <si>
    <t>QUADRA 19</t>
  </si>
  <si>
    <t>JARDIM SANTA CLARA</t>
  </si>
  <si>
    <t>7 ANO</t>
  </si>
  <si>
    <t>(98) 9 8422 2542</t>
  </si>
  <si>
    <t>RUA B QUADRA 14</t>
  </si>
  <si>
    <t>RUA</t>
  </si>
  <si>
    <t>MAIOBAO</t>
  </si>
  <si>
    <t>(94) 9 9127 7430</t>
  </si>
  <si>
    <t>RUA 140</t>
  </si>
  <si>
    <t>QUADRA 126</t>
  </si>
  <si>
    <t>(98) 9 8708 0515</t>
  </si>
  <si>
    <t>AVENIDA DOS COLABORADORES TV 11 QD 11</t>
  </si>
  <si>
    <t>PRESIDENTE VARGAS</t>
  </si>
  <si>
    <t>(98) 9 8714 9252</t>
  </si>
  <si>
    <t>RUA D QUADRA 06</t>
  </si>
  <si>
    <t>NOVO HORIZONTE</t>
  </si>
  <si>
    <t>(98) 9 9122 9995</t>
  </si>
  <si>
    <t>RUA NOVA</t>
  </si>
  <si>
    <t>(98) 9821 7516</t>
  </si>
  <si>
    <t>RUA VITORIA</t>
  </si>
  <si>
    <t>VILA KIOLA</t>
  </si>
  <si>
    <t>4 ANO</t>
  </si>
  <si>
    <t>RUA D</t>
  </si>
  <si>
    <t>QUADRA 21</t>
  </si>
  <si>
    <t>(98) 9 8877 9747</t>
  </si>
  <si>
    <t>RUA QUADRA</t>
  </si>
  <si>
    <t>(98) 9 8606 2914</t>
  </si>
  <si>
    <t>RUA 02 QUADRA 04</t>
  </si>
  <si>
    <t>SANTA CLARA</t>
  </si>
  <si>
    <t>(98) 9 8612 1604</t>
  </si>
  <si>
    <t>RUA DA MANGA</t>
  </si>
  <si>
    <t>LIMA VERDE</t>
  </si>
  <si>
    <t>(98) 9 9968 3454</t>
  </si>
  <si>
    <t>TRAVESSA 26 QUADRA 26</t>
  </si>
  <si>
    <t>TRAVESSA</t>
  </si>
  <si>
    <t>(98) 9 9616 5597</t>
  </si>
  <si>
    <t>RUA 02 QUADRA G</t>
  </si>
  <si>
    <t>SARAMANTA II</t>
  </si>
  <si>
    <t>AVENIDA 10</t>
  </si>
  <si>
    <t>RUA G QUADRA 20</t>
  </si>
  <si>
    <t>RUA PRINCESA ORLEANS</t>
  </si>
  <si>
    <t>RUA  02</t>
  </si>
  <si>
    <t>QUADRA G</t>
  </si>
  <si>
    <t>SARAMANTA</t>
  </si>
  <si>
    <t>(98) 9 9231 8062</t>
  </si>
  <si>
    <t>RUA 03 QUADRA 08</t>
  </si>
  <si>
    <t>JARDIM PRIMAVERA</t>
  </si>
  <si>
    <t>RUA 133</t>
  </si>
  <si>
    <t>QUADRA 130</t>
  </si>
  <si>
    <t>(98) 0000 0000</t>
  </si>
  <si>
    <t>AVENIDA TRANCREDO NEVES</t>
  </si>
  <si>
    <t>VILLAGE DOS BOSQUE II</t>
  </si>
  <si>
    <t>RUA I</t>
  </si>
  <si>
    <t>QUADRA 29</t>
  </si>
  <si>
    <t>TRAVESSA DA ESTRADA DE RIBAMAR</t>
  </si>
  <si>
    <t>BLOCO 2A</t>
  </si>
  <si>
    <t>RECANTO VERDE 4</t>
  </si>
  <si>
    <t>(98) 9 8441 5000</t>
  </si>
  <si>
    <t>RUA 115</t>
  </si>
  <si>
    <t>QUADRA 78</t>
  </si>
  <si>
    <t>RUA 13</t>
  </si>
  <si>
    <t>QUADRA 13</t>
  </si>
  <si>
    <t>RESIDENCIAL SAFIRA</t>
  </si>
  <si>
    <t>(98) 9 8475 0494</t>
  </si>
  <si>
    <t>TRAVESSA 31</t>
  </si>
  <si>
    <t>QUADRA 30</t>
  </si>
  <si>
    <t>(98) 9 8883 5658</t>
  </si>
  <si>
    <t>AVENIDA 02 QUADRA 02</t>
  </si>
  <si>
    <t>QUADRA 107</t>
  </si>
  <si>
    <t>RUA OLHO D`ÃGUA</t>
  </si>
  <si>
    <t>RUA DOS SABIÃS</t>
  </si>
  <si>
    <t>QUADRA 04</t>
  </si>
  <si>
    <t>RESIDENCIAL ENCONTRO DAS AVES -SITIO GRANDE</t>
  </si>
  <si>
    <t>RUA A , QUADRA  02</t>
  </si>
  <si>
    <t>RESIDENCIAL NOVO HORIZONTE</t>
  </si>
  <si>
    <t>(98) 9 7007 9616</t>
  </si>
  <si>
    <t>PLAZA DAS FLORES III</t>
  </si>
  <si>
    <t>1 ANO</t>
  </si>
  <si>
    <t>(98) 9 8704 6704</t>
  </si>
  <si>
    <t>RUA 67</t>
  </si>
  <si>
    <t>RUA 05</t>
  </si>
  <si>
    <t>A</t>
  </si>
  <si>
    <t>(98) 9 8591 7113</t>
  </si>
  <si>
    <t>RUA 66 QUADRA 150</t>
  </si>
  <si>
    <t>AVENIDA 13</t>
  </si>
  <si>
    <t>(98) 9 8506 5003</t>
  </si>
  <si>
    <t>RUA DA MANGA QUADRA 04</t>
  </si>
  <si>
    <t>(98) 9 8450 5408</t>
  </si>
  <si>
    <t>AVENIDA 08 QUADRA 17</t>
  </si>
  <si>
    <t>PARANA</t>
  </si>
  <si>
    <t>RUA 72</t>
  </si>
  <si>
    <t>QUADRA 153</t>
  </si>
  <si>
    <t>RUA 1</t>
  </si>
  <si>
    <t>(98) 9 8826 8082</t>
  </si>
  <si>
    <t>RUA 09 QUADRA 08</t>
  </si>
  <si>
    <t>(98) 9 8707 0377</t>
  </si>
  <si>
    <t>VILA SAO JOSE II</t>
  </si>
  <si>
    <t>(98) 9 8462 6104</t>
  </si>
  <si>
    <t>RUA GOIABAS</t>
  </si>
  <si>
    <t>RUA 139</t>
  </si>
  <si>
    <t>RUA PROJETADA 06</t>
  </si>
  <si>
    <t>(98) 9 8729 8167</t>
  </si>
  <si>
    <t>AVENIDA PRINCIPAL I QUADRA 22</t>
  </si>
  <si>
    <t>(98) 9 8700 9758</t>
  </si>
  <si>
    <t>AVENIDA PRINCIPAL QUADRA 09</t>
  </si>
  <si>
    <t>MORADA NOVA</t>
  </si>
  <si>
    <t>RUA 137</t>
  </si>
  <si>
    <t>QUADRA124</t>
  </si>
  <si>
    <t>RUA UBATUBA</t>
  </si>
  <si>
    <t>QUADRA 03</t>
  </si>
  <si>
    <t>LARANJAL</t>
  </si>
  <si>
    <t>RUA 01</t>
  </si>
  <si>
    <t>QUADRA C</t>
  </si>
  <si>
    <t>LOTEAMENTO SARAMANTA II</t>
  </si>
  <si>
    <t>RUA PRINCIPAL, 7118 D</t>
  </si>
  <si>
    <t>TIJUPAR QUEIMADO</t>
  </si>
  <si>
    <t>TRAVESSA 11</t>
  </si>
  <si>
    <t>QUADRA 10</t>
  </si>
  <si>
    <t>(98) 9 8546 5445</t>
  </si>
  <si>
    <t>RUA B QUADRA 06</t>
  </si>
  <si>
    <t>(98) 9 9172 2105</t>
  </si>
  <si>
    <t>AVENIDA AMADEU AROSO I</t>
  </si>
  <si>
    <t>TIAGO AROSO</t>
  </si>
  <si>
    <t>(98) 9 8835 8306</t>
  </si>
  <si>
    <t>RUA 117</t>
  </si>
  <si>
    <t>QUADRA 88</t>
  </si>
  <si>
    <t>(98) 9 8298 1094</t>
  </si>
  <si>
    <t>AVENIDA COLABORADORES 2</t>
  </si>
  <si>
    <t>QUADRA 12</t>
  </si>
  <si>
    <t>MATA</t>
  </si>
  <si>
    <t>(98) 9 8881 4287</t>
  </si>
  <si>
    <t>65.045-590</t>
  </si>
  <si>
    <t>JARDIM ALVORADA</t>
  </si>
  <si>
    <t>RUA 82 QUADRA 167</t>
  </si>
  <si>
    <t>RUA01. CAS 04, QUADRA03, CLARISSEII</t>
  </si>
  <si>
    <t>(98) 9 8422 4811</t>
  </si>
  <si>
    <t>RUA ATROARES</t>
  </si>
  <si>
    <t>QUADRA 01</t>
  </si>
  <si>
    <t>(98) 9 8905 4262</t>
  </si>
  <si>
    <t>RUA 01 QUADRA A</t>
  </si>
  <si>
    <t>RUA 40</t>
  </si>
  <si>
    <t>QUADRA 77</t>
  </si>
  <si>
    <t>RUA 66</t>
  </si>
  <si>
    <t>QUADRA 149</t>
  </si>
  <si>
    <t>(98) 9 8229 1124</t>
  </si>
  <si>
    <t>AVENIDA PRINCESA ISABEL QUADRA 15</t>
  </si>
  <si>
    <t>RUA 24</t>
  </si>
  <si>
    <t>QUADRA 61</t>
  </si>
  <si>
    <t>CIDADE VERDE II</t>
  </si>
  <si>
    <t>(98) 9 9933 3293</t>
  </si>
  <si>
    <t>RUA 07</t>
  </si>
  <si>
    <t>QUADRA 02</t>
  </si>
  <si>
    <t>RESIDENCIAL MIRANTE RIO</t>
  </si>
  <si>
    <t>RUA 03</t>
  </si>
  <si>
    <t>RUA 12</t>
  </si>
  <si>
    <t>QUADRA 08</t>
  </si>
  <si>
    <t>RUA 08</t>
  </si>
  <si>
    <t>QUADRA 06</t>
  </si>
  <si>
    <t>RUA B</t>
  </si>
  <si>
    <t>QUADRA10</t>
  </si>
  <si>
    <t>QUADRA 116</t>
  </si>
  <si>
    <t>(98) 9 8550 7164</t>
  </si>
  <si>
    <t>AVENIDA 04</t>
  </si>
  <si>
    <t>QUADRA 24</t>
  </si>
  <si>
    <t>(98) 9 8767 9423</t>
  </si>
  <si>
    <t>RUA 5 QUADRA 14</t>
  </si>
  <si>
    <t>ALTO PARANA II</t>
  </si>
  <si>
    <t>(98) 9 9141 6584</t>
  </si>
  <si>
    <t>RUA 76 QUADRA 154</t>
  </si>
  <si>
    <t>QUADRA 44</t>
  </si>
  <si>
    <t>AVENIDA PRINCIPAL</t>
  </si>
  <si>
    <t>(98) 9 8726 6612</t>
  </si>
  <si>
    <t>AVENIDA HILTON ROCHA QUADRA 33</t>
  </si>
  <si>
    <t>RUA 65</t>
  </si>
  <si>
    <t>QUADRA 125</t>
  </si>
  <si>
    <t>(98) 9 8138 6262</t>
  </si>
  <si>
    <t>CONDOMINIO MIRANTE DO RIO</t>
  </si>
  <si>
    <t>(98) 9 8839 2366</t>
  </si>
  <si>
    <t>TRAVESSA 27</t>
  </si>
  <si>
    <t>QUADRA 26</t>
  </si>
  <si>
    <t>(98) 9 8243 0368</t>
  </si>
  <si>
    <t>RUA PRINCESA ANASTACIA QUADRA 07</t>
  </si>
  <si>
    <t>RUA 106</t>
  </si>
  <si>
    <t>QUADRA 62</t>
  </si>
  <si>
    <t>(98) 9 8895 3125</t>
  </si>
  <si>
    <t>TRAVESSA PEDRA BRANCA</t>
  </si>
  <si>
    <t>QUADRA 09</t>
  </si>
  <si>
    <t>LOTEAMENTO JARDIM SANTA CLARA BACURITIUA</t>
  </si>
  <si>
    <t>(98) 9 8169 5929</t>
  </si>
  <si>
    <t>RUA 4 BLOCO 02</t>
  </si>
  <si>
    <t>CARLOS AUGUSTO</t>
  </si>
  <si>
    <t>RUA 09</t>
  </si>
  <si>
    <t>CIDADE VERDE I</t>
  </si>
  <si>
    <t>RUA 54</t>
  </si>
  <si>
    <t>QUADRA 102</t>
  </si>
  <si>
    <t>QUADRA 11</t>
  </si>
  <si>
    <t>(98) 9 8720 7380</t>
  </si>
  <si>
    <t>RUA A QUADRA 14</t>
  </si>
  <si>
    <t>RESIDENCIAL CORDEIRO</t>
  </si>
  <si>
    <t>(98) 9 9135 2317</t>
  </si>
  <si>
    <t>RUA 23 QUADRA 61</t>
  </si>
  <si>
    <t>(98) 9 9615 6849</t>
  </si>
  <si>
    <t>RUA 04 QUADRA</t>
  </si>
  <si>
    <t>VILA SARNEY</t>
  </si>
  <si>
    <t>RUA CEDRAL</t>
  </si>
  <si>
    <t>RUA SANTO AUGUSTINHO QUADRA E</t>
  </si>
  <si>
    <t>SANTA FILOMENA</t>
  </si>
  <si>
    <t>(98) 9 9602 2864</t>
  </si>
  <si>
    <t>RUA NOVA QUADRA 36A</t>
  </si>
  <si>
    <t>(98) 9 8412 8615</t>
  </si>
  <si>
    <t>RUA 01 QUADRA C</t>
  </si>
  <si>
    <t>(98) 9 8742 5706</t>
  </si>
  <si>
    <t>RUA NOVA I</t>
  </si>
  <si>
    <t>TIJUPÃ QUEIMADO</t>
  </si>
  <si>
    <t>AVENIDA HILTON ROCHA</t>
  </si>
  <si>
    <t>(98) 9 8342 9897</t>
  </si>
  <si>
    <t>RUA 85 QUADRA 15</t>
  </si>
  <si>
    <t>RUA GOIÃS</t>
  </si>
  <si>
    <t>VILA SAO LUÃS</t>
  </si>
  <si>
    <t>(98) 9 8619 0915</t>
  </si>
  <si>
    <t>RUA E QUADRA 23</t>
  </si>
  <si>
    <t>(98) 9 8736 3805</t>
  </si>
  <si>
    <t>RUA 02 QUADRA 18</t>
  </si>
  <si>
    <t>AVENIDA 1 QUADRA 16</t>
  </si>
  <si>
    <t>LA BELLE PARK</t>
  </si>
  <si>
    <t>(98) 9 8469 7923</t>
  </si>
  <si>
    <t>RUA 08 QUADRA 03</t>
  </si>
  <si>
    <t>VILA CAFETEIRA</t>
  </si>
  <si>
    <t>AVENIDA PRINCESA ISABEL</t>
  </si>
  <si>
    <t>QUADRA 15</t>
  </si>
  <si>
    <t>(98) 9 9909 6977</t>
  </si>
  <si>
    <t>ARMINDO REIS</t>
  </si>
  <si>
    <t>(98) 9 8349 4542</t>
  </si>
  <si>
    <t>RUA 07 QUADRA</t>
  </si>
  <si>
    <t>(98) 9 8750 7194</t>
  </si>
  <si>
    <t>RUA C QUADRA 04</t>
  </si>
  <si>
    <t>ALAMEDA 11</t>
  </si>
  <si>
    <t>PARANA II</t>
  </si>
  <si>
    <t>(98) 9 9148 1947</t>
  </si>
  <si>
    <t>TRAVESSA 7 QUADRA 7</t>
  </si>
  <si>
    <t>AVENIDA 01</t>
  </si>
  <si>
    <t>QUADRA 07</t>
  </si>
  <si>
    <t>(98) 9 8894 1339</t>
  </si>
  <si>
    <t>TRAVESSA 7</t>
  </si>
  <si>
    <t>QUADRA 6</t>
  </si>
  <si>
    <t>AVENIDA DOMINGOS DUTRA</t>
  </si>
  <si>
    <t>(86) 9 9804 1761</t>
  </si>
  <si>
    <t>TRACOÃ</t>
  </si>
  <si>
    <t>RUA 136</t>
  </si>
  <si>
    <t>QUADRA 120</t>
  </si>
  <si>
    <t>QUADRA09</t>
  </si>
  <si>
    <t>(98) 9 8133 6270</t>
  </si>
  <si>
    <t>RUA 6 QUADRA 10</t>
  </si>
  <si>
    <t>(98) 9 8424 7715</t>
  </si>
  <si>
    <t>COND. RIVIEIRA BLOCO A</t>
  </si>
  <si>
    <t>QUADRA 155</t>
  </si>
  <si>
    <t>AVENIDA CONTORNO LESTE QUADRA 02</t>
  </si>
  <si>
    <t>(98) 9 8444 7326</t>
  </si>
  <si>
    <t>AVENIDA 07</t>
  </si>
  <si>
    <t>(98) 9 8539 1427</t>
  </si>
  <si>
    <t>RUA 43 QUADRA 43</t>
  </si>
  <si>
    <t>(98) 9 8829 0849</t>
  </si>
  <si>
    <t>TRAVESSA FLAVIO CUBA</t>
  </si>
  <si>
    <t>(98) 9 8602 4743</t>
  </si>
  <si>
    <t>AVENIDA 12 QUADRA 102</t>
  </si>
  <si>
    <t>(98) 9 8725 7959</t>
  </si>
  <si>
    <t>RUA 138 QUADRA 131</t>
  </si>
  <si>
    <t>RUA 57</t>
  </si>
  <si>
    <t>(98) 9 8702 9479</t>
  </si>
  <si>
    <t>RUA SIGNUS DE PEIXE</t>
  </si>
  <si>
    <t>QUADRA 35B</t>
  </si>
  <si>
    <t>NOVA TERRA</t>
  </si>
  <si>
    <t>(98) 9 8854 5110</t>
  </si>
  <si>
    <t>RUA DAS LIMAS QUADRA H</t>
  </si>
  <si>
    <t>RAU A</t>
  </si>
  <si>
    <t>TAMBAU</t>
  </si>
  <si>
    <t>(98) 9 8478 2110</t>
  </si>
  <si>
    <t>ESTRADA DA MATA 8 BLOCO 8</t>
  </si>
  <si>
    <t>ESTRADA</t>
  </si>
  <si>
    <t>VILLAGE DOS BOSQUE IV</t>
  </si>
  <si>
    <t>TRAVESSA 11 QUADRA 10</t>
  </si>
  <si>
    <t>(98) 9 8467 2017</t>
  </si>
  <si>
    <t>RUA DOS ANTULHOS</t>
  </si>
  <si>
    <t>QUADRA K</t>
  </si>
  <si>
    <t>PARAISO ROSA</t>
  </si>
  <si>
    <t>(98) 9 9614 8042</t>
  </si>
  <si>
    <t>RUA COMPOSITOR QUADRA 08</t>
  </si>
  <si>
    <t>MARIA FIRMINA</t>
  </si>
  <si>
    <t>ALAMEDA VI</t>
  </si>
  <si>
    <t>QUADRA 8A</t>
  </si>
  <si>
    <t>PARANA III</t>
  </si>
  <si>
    <t>(98) 9 8416 9128</t>
  </si>
  <si>
    <t>RUA O QUADRA</t>
  </si>
  <si>
    <t>VILA DO POVO</t>
  </si>
  <si>
    <t>RUA 15</t>
  </si>
  <si>
    <t>QUADRA 40</t>
  </si>
  <si>
    <t>(98) 9 8499 2093</t>
  </si>
  <si>
    <t>RUA T</t>
  </si>
  <si>
    <t>(98) 9 9607 0586</t>
  </si>
  <si>
    <t>RUA 10 QUADRA</t>
  </si>
  <si>
    <t>(98) 9 8880 5310</t>
  </si>
  <si>
    <t>RUA L QUADRA 15</t>
  </si>
  <si>
    <t>RUA PONTA DA AREIA</t>
  </si>
  <si>
    <t>ALTO PARANA III</t>
  </si>
  <si>
    <t>(98) 9 9168 7505</t>
  </si>
  <si>
    <t>ESTRADA BOA VIAGEM, RUA A</t>
  </si>
  <si>
    <t>RESIDENCIAL VILLAGE DOS PASSAROS I</t>
  </si>
  <si>
    <t>(98) 9 8474 8414</t>
  </si>
  <si>
    <t>RUA 116</t>
  </si>
  <si>
    <t>QUADRA 81</t>
  </si>
  <si>
    <t>ALAMEDA 5</t>
  </si>
  <si>
    <t>(98) 9 8124 3666</t>
  </si>
  <si>
    <t>(98) 9 8207 8005</t>
  </si>
  <si>
    <t>AVENIDA 15</t>
  </si>
  <si>
    <t>(98) 9 8424 2357</t>
  </si>
  <si>
    <t>RUA I QUADRA 28</t>
  </si>
  <si>
    <t>(98) 9 8778 9294</t>
  </si>
  <si>
    <t>RUA 02 QUADRA</t>
  </si>
  <si>
    <t>AVENIDA B</t>
  </si>
  <si>
    <t>QUADRA 52</t>
  </si>
  <si>
    <t>AVENIDA ALCANTARA</t>
  </si>
  <si>
    <t>TRAVESSA 22</t>
  </si>
  <si>
    <t>QUADRA 22</t>
  </si>
  <si>
    <t>RUA 21</t>
  </si>
  <si>
    <t>(98) 9 9173 7575</t>
  </si>
  <si>
    <t>RUA 06</t>
  </si>
  <si>
    <t>(98) 9 8864 4466</t>
  </si>
  <si>
    <t>AVENIDA PRINCIPAL II</t>
  </si>
  <si>
    <t>(98) 9 8819 7912</t>
  </si>
  <si>
    <t>TRAVESSA 20 QUADRA 14</t>
  </si>
  <si>
    <t>(98) 9 8813 3915</t>
  </si>
  <si>
    <t>RUA 07 QUADRA 06</t>
  </si>
  <si>
    <t>(98) 9 8520 8866</t>
  </si>
  <si>
    <t>RUA 31</t>
  </si>
  <si>
    <t>(98) 9 8851 0199</t>
  </si>
  <si>
    <t>RUA 138</t>
  </si>
  <si>
    <t>RUA 120</t>
  </si>
  <si>
    <t>(98) 9 8812 4653</t>
  </si>
  <si>
    <t>RUA 44 QUADRA 143</t>
  </si>
  <si>
    <t>(98) 9 8508 6003</t>
  </si>
  <si>
    <t>RUA A QUADRA 18</t>
  </si>
  <si>
    <t>TRAVESSA 20</t>
  </si>
  <si>
    <t>RUA 104</t>
  </si>
  <si>
    <t>(98) 9 8813 7866</t>
  </si>
  <si>
    <t>RUA 23</t>
  </si>
  <si>
    <t>(98) 9 8751 1537</t>
  </si>
  <si>
    <t>RUA 93 QUADRA 26</t>
  </si>
  <si>
    <t>(98) 9 9227 8983</t>
  </si>
  <si>
    <t>AVENIDA 09</t>
  </si>
  <si>
    <t>QUADRA 76</t>
  </si>
  <si>
    <t>RESIDENCIAL ORQUIDEAS</t>
  </si>
  <si>
    <t>(98) 9 8863 2331</t>
  </si>
  <si>
    <t>(98) 9 9173 3827</t>
  </si>
  <si>
    <t>65.137-000</t>
  </si>
  <si>
    <t>AVENIDA 04 QUADRA 121</t>
  </si>
  <si>
    <t>(94) 9 9141 3194</t>
  </si>
  <si>
    <t>(98) 9 8736 7357</t>
  </si>
  <si>
    <t>(98) 9 8606 1990</t>
  </si>
  <si>
    <t>ESTRADA DE RIBAMAR / COND. RIVIERA 1</t>
  </si>
  <si>
    <t>CONDOMÃNIO</t>
  </si>
  <si>
    <t>BLOCO 15 APARTAMENTO 01</t>
  </si>
  <si>
    <t>(98) 9 8868 6103</t>
  </si>
  <si>
    <t>65.000-000</t>
  </si>
  <si>
    <t>RUA B QUADRA 09</t>
  </si>
  <si>
    <t>RUA 61</t>
  </si>
  <si>
    <t>QUADRA123</t>
  </si>
  <si>
    <t>(98) 9 9111 0179</t>
  </si>
  <si>
    <t>RUA PRINCESA ANASTACIA</t>
  </si>
  <si>
    <t>(98) 9 8726 8878</t>
  </si>
  <si>
    <t>(98) 9 9144 5892</t>
  </si>
  <si>
    <t>RUA 25</t>
  </si>
  <si>
    <t>RUA 85</t>
  </si>
  <si>
    <t>QUADRA 114</t>
  </si>
  <si>
    <t>(98) 9 8280 6878</t>
  </si>
  <si>
    <t>RUA 100 QUADRA 52</t>
  </si>
  <si>
    <t>(98) 9 8902 3421</t>
  </si>
  <si>
    <t>RUA 08 QUADRA 06</t>
  </si>
  <si>
    <t>(98) 9 8447 8809</t>
  </si>
  <si>
    <t>RUA SAO JOSE</t>
  </si>
  <si>
    <t>TIJAPA QUEIMADO</t>
  </si>
  <si>
    <t>AVENIDA 12</t>
  </si>
  <si>
    <t>AVENIDA 06</t>
  </si>
  <si>
    <t>(98) 9 8855 4167</t>
  </si>
  <si>
    <t>RUA H QUADRA 16</t>
  </si>
  <si>
    <t>JARDIM PIMAVERA</t>
  </si>
  <si>
    <t>(98) 9 8883 9805</t>
  </si>
  <si>
    <t>QUADRA 23</t>
  </si>
  <si>
    <t>RESIDENCIAL MANAIRA</t>
  </si>
  <si>
    <t>(98) 9 8848 3947</t>
  </si>
  <si>
    <t>RUA 08 QUADRA 13</t>
  </si>
  <si>
    <t>(98) 9 8288 6072</t>
  </si>
  <si>
    <t>RUA 68 QUADRA 151</t>
  </si>
  <si>
    <t>(98) 9 8554 7263</t>
  </si>
  <si>
    <t>RUA C QUADRA 15</t>
  </si>
  <si>
    <t>(98) 9 9981 9106</t>
  </si>
  <si>
    <t>(98) 9 8198 5249</t>
  </si>
  <si>
    <t>RUA FIRMINA URBANA</t>
  </si>
  <si>
    <t>AVENIDA 05</t>
  </si>
  <si>
    <t>QUADRA 37</t>
  </si>
  <si>
    <t>EPTÃCIO CAFETEIRA</t>
  </si>
  <si>
    <t>RUA DAS HORTAS</t>
  </si>
  <si>
    <t>(98) 9 8817 0633</t>
  </si>
  <si>
    <t>RUA 61 QUADRA 126</t>
  </si>
  <si>
    <t>(98) 9 9618 8465</t>
  </si>
  <si>
    <t>RUA 13 QUADRA 09</t>
  </si>
  <si>
    <t>RUA 82 QUADRA 157</t>
  </si>
  <si>
    <t>(98) 9 8806 0199</t>
  </si>
  <si>
    <t>ESTRADA 102 BLOCO 04</t>
  </si>
  <si>
    <t>RESIDENCIAL PITANGUEIRA</t>
  </si>
  <si>
    <t>(98) 9 8545 4501</t>
  </si>
  <si>
    <t>AVENIDA 01 QUADRA 04</t>
  </si>
  <si>
    <t>SOL NASCENTE</t>
  </si>
  <si>
    <t>(98) 9 8820 8660</t>
  </si>
  <si>
    <t>TRAVESSA 22 QUADRA 22</t>
  </si>
  <si>
    <t>(98) 9 8813 0150</t>
  </si>
  <si>
    <t>QUADRA 1113</t>
  </si>
  <si>
    <t>(98) 3237 7504</t>
  </si>
  <si>
    <t>SSP MA ,</t>
  </si>
  <si>
    <t>(98) 9 9962 4951</t>
  </si>
  <si>
    <t>RUA 13 QUADRA 13</t>
  </si>
  <si>
    <t>QUADRA 95</t>
  </si>
  <si>
    <t>(98) 9 8599 8277</t>
  </si>
  <si>
    <t>(98) 9 9164 0435</t>
  </si>
  <si>
    <t>(98) 9 8227 9282</t>
  </si>
  <si>
    <t>RUA 57 QAUADRA 147</t>
  </si>
  <si>
    <t>(98) 9 9907 2772</t>
  </si>
  <si>
    <t>(98) 9 8791 0028</t>
  </si>
  <si>
    <t>VILA SARNEY FILHO I</t>
  </si>
  <si>
    <t>RUA 11</t>
  </si>
  <si>
    <t>QUADRA 33</t>
  </si>
  <si>
    <t>(98) 9 8868 0135</t>
  </si>
  <si>
    <t>(98) 9 8845 4409</t>
  </si>
  <si>
    <t>RUA SIGNOS DE GEMEOS</t>
  </si>
  <si>
    <t>(98) 9 8867 1861</t>
  </si>
  <si>
    <t>RUA PRINCESA INGRID QUADRA 04</t>
  </si>
  <si>
    <t>(98) 9 8828 3671</t>
  </si>
  <si>
    <t>AVENIDA 05 QUADRA 01</t>
  </si>
  <si>
    <t>(98) 9 8829 6505</t>
  </si>
  <si>
    <t>RUA B QUADRA 05</t>
  </si>
  <si>
    <t>(98) 9 8860 1588</t>
  </si>
  <si>
    <t>RUA 02 QUADRA 05</t>
  </si>
  <si>
    <t>RUA 117 QUADRA 08</t>
  </si>
  <si>
    <t>(98) 9 8751 2215</t>
  </si>
  <si>
    <t>RUA PRINCESA ANTONELA</t>
  </si>
  <si>
    <t>(98) 9 8336 3623</t>
  </si>
  <si>
    <t>TRAVESSA 20 QUADRA 19</t>
  </si>
  <si>
    <t>(98) 9 8981 9479</t>
  </si>
  <si>
    <t>RUA RIBAMAR</t>
  </si>
  <si>
    <t>(98) 9 8728 1794</t>
  </si>
  <si>
    <t>RUA UBATUBA QUADRA 03</t>
  </si>
  <si>
    <t>(98) 9 9131 4872</t>
  </si>
  <si>
    <t>(98) 9 8925 2527</t>
  </si>
  <si>
    <t>RUA 05 QUADRA</t>
  </si>
  <si>
    <t>(98) 9 8585 8792</t>
  </si>
  <si>
    <t>AVENIDA 13 QUADRA 155</t>
  </si>
  <si>
    <t>RUA PRINCESA INGRID</t>
  </si>
  <si>
    <t>KIOLA</t>
  </si>
  <si>
    <t>QUADRA 28</t>
  </si>
  <si>
    <t>(98) 9 8501 7847</t>
  </si>
  <si>
    <t>RUA PRINCESA DEBORA</t>
  </si>
  <si>
    <t>AVENIDA DOS CARAJÃ</t>
  </si>
  <si>
    <t>E</t>
  </si>
  <si>
    <t>(98) 9 9907 0460</t>
  </si>
  <si>
    <t>(98) 9 9906 7400</t>
  </si>
  <si>
    <t>RUA F</t>
  </si>
  <si>
    <t>(98) 9 8602 4793</t>
  </si>
  <si>
    <t>`AVENIDA</t>
  </si>
  <si>
    <t>(98) 9 8159 6065</t>
  </si>
  <si>
    <t>AVENIDA PRINCIPAL 1</t>
  </si>
  <si>
    <t>AVENIDA 14</t>
  </si>
  <si>
    <t>QUADRA 157</t>
  </si>
  <si>
    <t>(98) 9 8482 6738</t>
  </si>
  <si>
    <t>ALAMEDA 08 QUADRA 11</t>
  </si>
  <si>
    <t>ALAMEDA</t>
  </si>
  <si>
    <t>PARANA I</t>
  </si>
  <si>
    <t>(98) 9 8893 1913</t>
  </si>
  <si>
    <t>AVENIDA 04 QUADRA 02</t>
  </si>
  <si>
    <t>(98) 9 8717 6694</t>
  </si>
  <si>
    <t>TRAVESSA 13 QUADRA 13</t>
  </si>
  <si>
    <t>(98) 9 8900 5852</t>
  </si>
  <si>
    <t>AVENIDA HILTON ROCHA AV 14</t>
  </si>
  <si>
    <t>(98) 9 8204 5223</t>
  </si>
  <si>
    <t>AVENIDA 15 QUADRA</t>
  </si>
  <si>
    <t>RUA 146</t>
  </si>
  <si>
    <t>RUA E</t>
  </si>
  <si>
    <t>(98) 9 9616 4950</t>
  </si>
  <si>
    <t>(98) 9 9608 8000</t>
  </si>
  <si>
    <t>ESTRADA DE RIBAMAR KM 08</t>
  </si>
  <si>
    <t>(98) 9 8124 8892</t>
  </si>
  <si>
    <t>AVENIDA 02 QUADRA 06</t>
  </si>
  <si>
    <t>RESIDENCIAL HORQUIDIA</t>
  </si>
  <si>
    <t>(98) 9 8457 1303</t>
  </si>
  <si>
    <t>AVENIDA 10, RUA 120</t>
  </si>
  <si>
    <t>QUADRA 103</t>
  </si>
  <si>
    <t>7381 .::. U.I. PROFª NADIR NASCIMENTO MORAES</t>
  </si>
  <si>
    <t>41 .::. FUNDAMENTAL II (6º AO 9º ANO)</t>
  </si>
  <si>
    <t>2351 .::. Paço do Lumiar</t>
  </si>
  <si>
    <t>40 .::. FUNDAMENTAL I (1º AO 5º ANO)</t>
  </si>
  <si>
    <t>1º grau</t>
  </si>
  <si>
    <t>PRESIDENTE VARGAS / MAIOBÃO</t>
  </si>
  <si>
    <t>NOVO PAÇO</t>
  </si>
  <si>
    <t>MERCÚS</t>
  </si>
  <si>
    <t>VILA SAO JOSÉ II</t>
  </si>
  <si>
    <t>MAIOBÃO</t>
  </si>
  <si>
    <t>SÃO JOSÉ DE RIBAMAR</t>
  </si>
  <si>
    <t>RUA DA PIÇARREIRA N 01, BAIRRO MATA</t>
  </si>
  <si>
    <t>RUA DAS HORTÚNCIAS</t>
  </si>
  <si>
    <t>2402 .::. São Luís</t>
  </si>
  <si>
    <t>SÃO JOSE DE RIBAMAR</t>
  </si>
  <si>
    <t>RUA DO POÇO,</t>
  </si>
  <si>
    <t>PIÇARREIRA/ SÃO SOJÉ DE RIBAMAR</t>
  </si>
  <si>
    <t>UPOAN-AÇU</t>
  </si>
  <si>
    <t>PORTAL DO PAÇO</t>
  </si>
  <si>
    <t>ALTO PARANÃ II</t>
  </si>
  <si>
    <t>TAMBAÚ</t>
  </si>
  <si>
    <t>VILA SAO JOSÉ</t>
  </si>
  <si>
    <t>JARDIM PARANÃ</t>
  </si>
  <si>
    <t>RUA SÃO DOMINGOS</t>
  </si>
  <si>
    <t>PARANÃ</t>
  </si>
  <si>
    <t>RESIDENCIAL SAFIRA - MAIOBÃO</t>
  </si>
  <si>
    <t>RUA DO BOQUEIMÃO</t>
  </si>
  <si>
    <t>VILA NAZARÉ</t>
  </si>
  <si>
    <t>RUA SÃO JOSE</t>
  </si>
  <si>
    <t>RUA DO POÇO</t>
  </si>
  <si>
    <t>VILA PIÇAREIRA</t>
  </si>
  <si>
    <t>SANTO ESTEVÃO</t>
  </si>
  <si>
    <t>LOTEAMENTO ALTO PARANÃ - MAIOBÃO</t>
  </si>
  <si>
    <t>RUA PRINCESA FLORENÇA</t>
  </si>
  <si>
    <t>Instituição de ensino:</t>
  </si>
  <si>
    <t>Turno:</t>
  </si>
  <si>
    <t>Curso na Intituição:</t>
  </si>
  <si>
    <t>Grau:</t>
  </si>
  <si>
    <t>Ano ou Período:</t>
  </si>
  <si>
    <t>Turma:</t>
  </si>
  <si>
    <t>Matrícula:</t>
  </si>
  <si>
    <t>Cartão:</t>
  </si>
  <si>
    <t>Nome:</t>
  </si>
  <si>
    <t>Nascimento:</t>
  </si>
  <si>
    <t>CPF:</t>
  </si>
  <si>
    <t>RG:</t>
  </si>
  <si>
    <t>Expedidor:</t>
  </si>
  <si>
    <t>Expedição:</t>
  </si>
  <si>
    <t>Sexo:</t>
  </si>
  <si>
    <t>Telefone:</t>
  </si>
  <si>
    <t>Celular:</t>
  </si>
  <si>
    <t>Email:</t>
  </si>
  <si>
    <t>CEP:</t>
  </si>
  <si>
    <t>Endereco:</t>
  </si>
  <si>
    <t>Complemento:</t>
  </si>
  <si>
    <t>Número:</t>
  </si>
  <si>
    <t>Bairro:</t>
  </si>
  <si>
    <t>Cidade:</t>
  </si>
  <si>
    <t>UF:</t>
  </si>
  <si>
    <t>Mãe:</t>
  </si>
  <si>
    <t>Pai:</t>
  </si>
  <si>
    <t>Apto:</t>
  </si>
  <si>
    <t>Cadastrado:</t>
  </si>
  <si>
    <t>Alterdado:</t>
  </si>
  <si>
    <t>Bloqueio:</t>
  </si>
  <si>
    <t>Bloqueado:</t>
  </si>
  <si>
    <t>CPF</t>
  </si>
  <si>
    <t>RG</t>
  </si>
  <si>
    <t>CEP</t>
  </si>
  <si>
    <t>UF</t>
  </si>
  <si>
    <t>NOME</t>
  </si>
  <si>
    <t>NASCIMENTO</t>
  </si>
  <si>
    <t>EXPEDIDOR</t>
  </si>
  <si>
    <t>EXPEDIÇÃO</t>
  </si>
  <si>
    <t>SEXO</t>
  </si>
  <si>
    <t>TELEFONE</t>
  </si>
  <si>
    <t>CELULAR</t>
  </si>
  <si>
    <t>EMAIL</t>
  </si>
  <si>
    <t>ENDERECO</t>
  </si>
  <si>
    <t>COMPLEMENTO</t>
  </si>
  <si>
    <t>NÚMERO</t>
  </si>
  <si>
    <t>BAIRRO</t>
  </si>
  <si>
    <t>CIDADE</t>
  </si>
  <si>
    <t>MÃE</t>
  </si>
  <si>
    <t>PAI</t>
  </si>
  <si>
    <t>APTO</t>
  </si>
  <si>
    <t>CADASTRADO</t>
  </si>
  <si>
    <t>ALTERDADO</t>
  </si>
  <si>
    <t>BLOQUEIO</t>
  </si>
  <si>
    <t>BLOQUEADO</t>
  </si>
  <si>
    <t>INSTITUIÇÃO DE ENSINO</t>
  </si>
  <si>
    <t>TURNO</t>
  </si>
  <si>
    <t>CURSO NA INTITUIÇÃO</t>
  </si>
  <si>
    <t>GRAU</t>
  </si>
  <si>
    <t>TURMA</t>
  </si>
  <si>
    <t>MATRÍCULA</t>
  </si>
  <si>
    <t>CARTÃO</t>
  </si>
  <si>
    <t>Alexandre Bastos Pinheiro</t>
  </si>
  <si>
    <t>Alex Raylan Costa Nogueira</t>
  </si>
  <si>
    <t>Alice Asevedo Bittencourt</t>
  </si>
  <si>
    <t>Alice Ferreira Alves</t>
  </si>
  <si>
    <t>Ana Beatriz Monteiro Silva</t>
  </si>
  <si>
    <t>Ana Caroline Silva Martins</t>
  </si>
  <si>
    <t>Ana Clara Mendes Costa</t>
  </si>
  <si>
    <t>Ana Emanuelle Ferreira Castro</t>
  </si>
  <si>
    <t>Ana Julia Oliveira Freitas</t>
  </si>
  <si>
    <t>Ana Julia Rodrigues Araujo</t>
  </si>
  <si>
    <t>Ana Luiza Ferreira Castro</t>
  </si>
  <si>
    <t>Ana Paula Diniz Silva</t>
  </si>
  <si>
    <t>Ana Sofia Lopes Santos</t>
  </si>
  <si>
    <t>André Martins Marques Junior</t>
  </si>
  <si>
    <t>Andrés Sanchez Silva Frazao</t>
  </si>
  <si>
    <t>Angelo Gabriel Lisboa Santos Amado</t>
  </si>
  <si>
    <t>Anna Leticia Nascimento Castro</t>
  </si>
  <si>
    <t>Anthony Vitor Martins Lopes</t>
  </si>
  <si>
    <t>Ariel Benicio Gonçalves Neves</t>
  </si>
  <si>
    <t>Arthur Sousa Carvalho</t>
  </si>
  <si>
    <t>Arthur Swagger Vieira Borges</t>
  </si>
  <si>
    <t>Arthur Vinicius Sousa Muniz</t>
  </si>
  <si>
    <t>Augusto Conte Silva Correa Junior</t>
  </si>
  <si>
    <t>Aylla Sophia Lisboa Silva</t>
  </si>
  <si>
    <t>Brenda Emanuelle Gonçalves Alves</t>
  </si>
  <si>
    <t>Bruna Bianca Mendes Ferreira</t>
  </si>
  <si>
    <t>Bruna Gabriela Gomes Reis</t>
  </si>
  <si>
    <t>Bruna Laryssa Sousa Rosa</t>
  </si>
  <si>
    <t>Caio Brito Marques</t>
  </si>
  <si>
    <t>Carlos  Julian Ataide Frazão</t>
  </si>
  <si>
    <t>Dandara Cristina Santos Costa</t>
  </si>
  <si>
    <t>Daniel Jeferson Barbosa Fonseca</t>
  </si>
  <si>
    <t>Daniel Muller Correia Leite</t>
  </si>
  <si>
    <t>Davi Diones Bezerra Santiago</t>
  </si>
  <si>
    <t>David Willian Ferreira Costa</t>
  </si>
  <si>
    <t>Davi Felipe Garros Rodrigues</t>
  </si>
  <si>
    <t>Davi Filgueiras Barbosa</t>
  </si>
  <si>
    <t>Davi Miguel Alves Machado</t>
  </si>
  <si>
    <t>Denilson Guimaraes Souza Silva</t>
  </si>
  <si>
    <t>Deyse Stephanny Martins Ferreira</t>
  </si>
  <si>
    <t>Diego Emanuel Tavares Melo</t>
  </si>
  <si>
    <t>Diogo Batista Guimaraús</t>
  </si>
  <si>
    <t>Dionisio Mendes Lima</t>
  </si>
  <si>
    <t>Edson Kauã Nascimento Castro</t>
  </si>
  <si>
    <t>Elen Beatriz Silva Ramos</t>
  </si>
  <si>
    <t>Elika Marcelly Leite Rabelo</t>
  </si>
  <si>
    <t>Elton Rennan Teixeira Oliveira</t>
  </si>
  <si>
    <t>Emanuel Angelo Machado Sousa</t>
  </si>
  <si>
    <t>Emanuel Espindola Serra Costa</t>
  </si>
  <si>
    <t>Emanuelle Sa Sousa</t>
  </si>
  <si>
    <t>Emanuel Victor Costa Reis</t>
  </si>
  <si>
    <t>Emelly Vitoria Martins Lopes</t>
  </si>
  <si>
    <t>Emilly Christine Silva Pereira</t>
  </si>
  <si>
    <t>Emilly Sophia Sena Ribeiro</t>
  </si>
  <si>
    <t>Enzo Daniel Sousa Calisto</t>
  </si>
  <si>
    <t>Enzo Gabriel Coelho Marques</t>
  </si>
  <si>
    <t>Enzo Gustavo Pereira Brito</t>
  </si>
  <si>
    <t>Enzo Miguel Cantanhede Rodrigues</t>
  </si>
  <si>
    <t>Enzo Ricardo Pinheiro Castro</t>
  </si>
  <si>
    <t>Enzzo Nycholas Maia Alderaldo</t>
  </si>
  <si>
    <t>Esther Blesson Mendes Mouzinho</t>
  </si>
  <si>
    <t>Esther Cristina  Almeida Rubim</t>
  </si>
  <si>
    <t>Esther Karoline Everton Martins</t>
  </si>
  <si>
    <t>Evellyn Caroline Silva Pereira</t>
  </si>
  <si>
    <t>Evelyn Gabriela Sousa Oliveira</t>
  </si>
  <si>
    <t>Fagner Higor Costa Santos</t>
  </si>
  <si>
    <t>Felipe Gabriel Frazão Lobato</t>
  </si>
  <si>
    <t>Fernanda Sousa Teixeira</t>
  </si>
  <si>
    <t>Francisco Henrique Sena Brito</t>
  </si>
  <si>
    <t>Gabriel Arthur Santos Torres Pimentel</t>
  </si>
  <si>
    <t>Gabriel Cardoso Laverde</t>
  </si>
  <si>
    <t>Gabrielle Sa Sousa</t>
  </si>
  <si>
    <t>Gabriel Rabelo Lima</t>
  </si>
  <si>
    <t>Gleicy Charlyene França Santos</t>
  </si>
  <si>
    <t>Guilherme Coutinho Ribeiro</t>
  </si>
  <si>
    <t>Guilherme Emanuell Silva Gonçalves</t>
  </si>
  <si>
    <t>Huan Flavio Alves</t>
  </si>
  <si>
    <t>Iana Sophie Sousa Lima</t>
  </si>
  <si>
    <t>Ian Carlos Ferreira Pinto</t>
  </si>
  <si>
    <t>Isabela Melo Batista</t>
  </si>
  <si>
    <t>Isabele Sa Sousa</t>
  </si>
  <si>
    <t>Izabelly Pontes Ferraz</t>
  </si>
  <si>
    <t>Jacyara Vitoria Oliveira Damascena</t>
  </si>
  <si>
    <t>Jefferson Luan Franca Cantanhede</t>
  </si>
  <si>
    <t>Jhony Samuel Aguiar Barbosa Boaes</t>
  </si>
  <si>
    <t>Joao Antonio Lopes Santos</t>
  </si>
  <si>
    <t>João Gabriel Maranhão Lago</t>
  </si>
  <si>
    <t>Joao Gabriel Pereira Rodrigues</t>
  </si>
  <si>
    <t>Joao Gabriel Rocha Barros</t>
  </si>
  <si>
    <t>Joao Gabriel Santos Sousa</t>
  </si>
  <si>
    <t>Joao Guilherme Das Neves Corvelo</t>
  </si>
  <si>
    <t>Joao Pedro Gomes Soares</t>
  </si>
  <si>
    <t>Joao Pedro Luz Santiago</t>
  </si>
  <si>
    <t>Joao Pedro Passos Mendes</t>
  </si>
  <si>
    <t>Joao Pedro Silva Pereira</t>
  </si>
  <si>
    <t>João Vinicius Alves Machado</t>
  </si>
  <si>
    <t>Julia Almeida Dutra</t>
  </si>
  <si>
    <t>Julia Cristina Alves Machado</t>
  </si>
  <si>
    <t>Kaio Jonas Ataide Frazao</t>
  </si>
  <si>
    <t>Kallebe Kaua Pereira Correia</t>
  </si>
  <si>
    <t>Karine Saraiva Ayres</t>
  </si>
  <si>
    <t>Katherine Kauane Barrozo Barbosa</t>
  </si>
  <si>
    <t>Kaua Kaiky Pereira Correia</t>
  </si>
  <si>
    <t>Kawe Lucas Cruz Pinto</t>
  </si>
  <si>
    <t>Kayllany Beatriz Correia Azevedo</t>
  </si>
  <si>
    <t>Laerth Miguel Sousa Brito</t>
  </si>
  <si>
    <t>Lara Lorhanny Enes Muniz</t>
  </si>
  <si>
    <t>Lara Vitoria Vieira Souza</t>
  </si>
  <si>
    <t>Leticia Carvalho Mendes</t>
  </si>
  <si>
    <t>Levi Filgueiras Barbosa</t>
  </si>
  <si>
    <t>Livia Pinto Martins</t>
  </si>
  <si>
    <t>Lohanny Gabrielly Pereira Barroso</t>
  </si>
  <si>
    <t>Lorena Vitoria Cunha Moraes</t>
  </si>
  <si>
    <t>Luana Larisssa Medeiros Martins</t>
  </si>
  <si>
    <t>Lucas Davi Melo Marques</t>
  </si>
  <si>
    <t>Luis Gustavo Barbosa Martins</t>
  </si>
  <si>
    <t>Luis Gustavo Teixeira Pinheiro</t>
  </si>
  <si>
    <t>Luis Pedro Nascimento Pinto</t>
  </si>
  <si>
    <t>Mairla Santos Oliveira</t>
  </si>
  <si>
    <t>Marcia Hianla Silva Ataide</t>
  </si>
  <si>
    <t>Marcos Henrique Sena Sodre</t>
  </si>
  <si>
    <t>Marcos Vinicius Brito Silva</t>
  </si>
  <si>
    <t>Maria Clara Camoes Sousa Martins</t>
  </si>
  <si>
    <t>Maria Clara Maia Alderaldo</t>
  </si>
  <si>
    <t>Maria Elena Silva Muller Lago</t>
  </si>
  <si>
    <t>Maria Fernanda Miguens Cunha</t>
  </si>
  <si>
    <t>Maria Luisa Medeiros Dantas</t>
  </si>
  <si>
    <t>Mariana Vitoria Vale Amorim</t>
  </si>
  <si>
    <t>Maria Victã“Ria Cutrim Portela</t>
  </si>
  <si>
    <t>Marya Vitoria Silva Nogueira</t>
  </si>
  <si>
    <t>Matheus Felipe Vale Araujo</t>
  </si>
  <si>
    <t>Maykely Costa Santos</t>
  </si>
  <si>
    <t>Maysa Victoria Sardinha Coimbra</t>
  </si>
  <si>
    <t>Micaelly Braga Pacheco</t>
  </si>
  <si>
    <t>Mickael Calisto Sobrinho</t>
  </si>
  <si>
    <t>Miguel Augusto Tavares Melo</t>
  </si>
  <si>
    <t>Miguel Braga Pacheco</t>
  </si>
  <si>
    <t>Miguel Costa</t>
  </si>
  <si>
    <t>Mirian Cristina Silva Ferreira</t>
  </si>
  <si>
    <t>Mirian Emanuely Chagas</t>
  </si>
  <si>
    <t>Nicholas Gabriel Soares Queiroz</t>
  </si>
  <si>
    <t>Paulo Davi Sampaio Correia</t>
  </si>
  <si>
    <t>Paulo Rodrigo Souza Silva</t>
  </si>
  <si>
    <t>Paulo Victor Pinheiro Desterro</t>
  </si>
  <si>
    <t>Pedro Henrique Castro Rodrigues</t>
  </si>
  <si>
    <t>Pedro Henrique Silva Costa</t>
  </si>
  <si>
    <t>Pedro Lucas Sousa Silva</t>
  </si>
  <si>
    <t>Pedro Rafael Melo Marques</t>
  </si>
  <si>
    <t>Pedro Victor Cardoso Correa</t>
  </si>
  <si>
    <t>Perola Cecilia Brito Martins</t>
  </si>
  <si>
    <t>Raimundo Rodrigues Sousa Ribeiro Neto</t>
  </si>
  <si>
    <t>Raul Estevan Reis Freire</t>
  </si>
  <si>
    <t>Rhyan Carlos Araujo Gomes</t>
  </si>
  <si>
    <t>Rhyan Christyan Barbosa Marques</t>
  </si>
  <si>
    <t>Ricardo Ramos Barbosa</t>
  </si>
  <si>
    <t>Ruan Ramos Queiroz</t>
  </si>
  <si>
    <t>Samara Vitoria Moreira Marques</t>
  </si>
  <si>
    <t>Samuel Martins Araujo</t>
  </si>
  <si>
    <t>Samuel Matias Costa Fernandes</t>
  </si>
  <si>
    <t>Samuel Nascimento Rodrigues</t>
  </si>
  <si>
    <t>Samuel Ribeiro Pires</t>
  </si>
  <si>
    <t>Samuel Vaz Moreira</t>
  </si>
  <si>
    <t>Sofia Juanne Pimenta Silva</t>
  </si>
  <si>
    <t>Sofia Viana Amaral</t>
  </si>
  <si>
    <t>Sophia Bastos Maranhao Oliveira</t>
  </si>
  <si>
    <t>Sophia Clara Das Neves Corvelo</t>
  </si>
  <si>
    <t>Sophia Eduarda Coelho Marques</t>
  </si>
  <si>
    <t>Sophia Martins Coelho</t>
  </si>
  <si>
    <t>Stephany Maciel Mendes</t>
  </si>
  <si>
    <t>Tasshya Cristina Amorim Serra</t>
  </si>
  <si>
    <t>Thacylla Pinto Pinheiro</t>
  </si>
  <si>
    <t>Thassia Nicolly Serra Costa</t>
  </si>
  <si>
    <t>Valdiel Costa Rodrigues</t>
  </si>
  <si>
    <t>Vitor Sales Goncalves Lima</t>
  </si>
  <si>
    <t>Vyctor Macssuel Oliveira Pereira</t>
  </si>
  <si>
    <t>Wellington Gabriel Silva Maciel</t>
  </si>
  <si>
    <t>Yan Davi Sampaio Correia</t>
  </si>
  <si>
    <t>Yanna Ketlyn Pinheiro Ramos</t>
  </si>
  <si>
    <t>Yara Suzanny Martins Ribeiro</t>
  </si>
  <si>
    <t>Yasmim Sophia Luzo Azevedo</t>
  </si>
  <si>
    <t>Ytalo David Mesquita Mesquita</t>
  </si>
  <si>
    <t>Adrian Carlos da Silva Castro</t>
  </si>
  <si>
    <t>Agatha Cristina da Silva Feitosa</t>
  </si>
  <si>
    <t>Alexandre Gregory do Rosario Abreu</t>
  </si>
  <si>
    <t>Alvaro Ezequiel de Sousa Machado</t>
  </si>
  <si>
    <t>Amanda Emilly de Sousa Correa</t>
  </si>
  <si>
    <t>Ana Allicya Matos Guimaraes da Silva</t>
  </si>
  <si>
    <t>Ana Beatriz de Sousa Nunes</t>
  </si>
  <si>
    <t>Anabela Veloso de Brito</t>
  </si>
  <si>
    <t>Ana Carolyne Campos de Sousa</t>
  </si>
  <si>
    <t>Ana Karina Maciel dos Reis</t>
  </si>
  <si>
    <t>Ana Sara Correia dos Santos</t>
  </si>
  <si>
    <t>Angélica do Espirito Santo Bezerra</t>
  </si>
  <si>
    <t>Barbara Beatriz Santos Moreno da Silva</t>
  </si>
  <si>
    <t>Beatriz Silva de Jesus Martins</t>
  </si>
  <si>
    <t>Carlos Ariel Silva da Silva</t>
  </si>
  <si>
    <t>Cesar Augusto Silva do Vale</t>
  </si>
  <si>
    <t>Davi Emanuel dos Santos Cabral</t>
  </si>
  <si>
    <t>Diogo Adryan da Silva Ferreira</t>
  </si>
  <si>
    <t>Eduarda Thayze Ferreira dos Santos</t>
  </si>
  <si>
    <t>Elano Biasi Cruz de Brito</t>
  </si>
  <si>
    <t>Elderson Layon da Sila Serejo</t>
  </si>
  <si>
    <t>Elissa Beatriz Vieira de Araújo</t>
  </si>
  <si>
    <t>Enos Natanael Matos da Silva</t>
  </si>
  <si>
    <t>Esther Talita dos Santos Braga</t>
  </si>
  <si>
    <t>Fernanda Cristina Nascimento dos Santos</t>
  </si>
  <si>
    <t>Gabriela Coelho da Silva</t>
  </si>
  <si>
    <t>Grazielle da Silva Bezerra</t>
  </si>
  <si>
    <t>Gustavo Willian Nascimento de Sã</t>
  </si>
  <si>
    <t>Habner dos Reis de Azevedo</t>
  </si>
  <si>
    <t>Haylla Kerssya Ferreira do Espirito Santo</t>
  </si>
  <si>
    <t>Helena Ktllem de Oliveira Silva</t>
  </si>
  <si>
    <t>Hellen Sophia Lemos da Silva</t>
  </si>
  <si>
    <t>Hellen Vitoria Carvalho da Silva Brito</t>
  </si>
  <si>
    <t>Hianny dos Santos Soares</t>
  </si>
  <si>
    <t>Ingrid Laurrany do Nascimento</t>
  </si>
  <si>
    <t>Isabela de Oliveira Pinto</t>
  </si>
  <si>
    <t>Isabella de Vasconcelos Rocha</t>
  </si>
  <si>
    <t>Isadora Freire dos Santos</t>
  </si>
  <si>
    <t>Izabella Lima da Silva Gomes</t>
  </si>
  <si>
    <t>Jennyfer Emanuelly Sousa da Silva</t>
  </si>
  <si>
    <t>Jheniffer Nayara de Jesus Silva</t>
  </si>
  <si>
    <t>Jhennifer Santos da Conceição</t>
  </si>
  <si>
    <t>Joao Calebe da Silva Silva</t>
  </si>
  <si>
    <t>Joao Guilherme Mourao de Oliveira</t>
  </si>
  <si>
    <t>Joao Pedro Vale de Oliveira</t>
  </si>
  <si>
    <t>João Victor dos Santos Tavares</t>
  </si>
  <si>
    <t>Jonilson Freitas de Sousa Neto</t>
  </si>
  <si>
    <t>Jose Airton da Silva Neto</t>
  </si>
  <si>
    <t>Julia Hadassa Garcias  de Souza</t>
  </si>
  <si>
    <t>Kaik de Sousa Martins</t>
  </si>
  <si>
    <t>Kayllane Myrelle Ferreira da Costa</t>
  </si>
  <si>
    <t>Lara Cibely dos Santos Soares</t>
  </si>
  <si>
    <t>Lara Sophia Perna dos Santos</t>
  </si>
  <si>
    <t>Lara Sophie da Silva Santos</t>
  </si>
  <si>
    <t>Leandra Talita da Silva Costa</t>
  </si>
  <si>
    <t>Leonardo Gama Brito de Sousa</t>
  </si>
  <si>
    <t>Luiz Carlos da Conceição de Souza</t>
  </si>
  <si>
    <t>Luiz Fernando Santos do Nascimento</t>
  </si>
  <si>
    <t>Luiz Miguel dos Santos Sales</t>
  </si>
  <si>
    <t>Manuelly Sofia Monteiro da Silva</t>
  </si>
  <si>
    <t>Maria Clara dos Santos E Santos</t>
  </si>
  <si>
    <t>Maria de Jesus Costa Sousa</t>
  </si>
  <si>
    <t>Maria Eduarda Cordeiro dos Santos</t>
  </si>
  <si>
    <t>Maria Eduarda dos Santos Galca</t>
  </si>
  <si>
    <t>Mariah Claudia da Costa Marques</t>
  </si>
  <si>
    <t>Maria Victoria da Silva  Araujo</t>
  </si>
  <si>
    <t>Matheus de Araujo Rodrigues</t>
  </si>
  <si>
    <t>Matheus dos Santos Calisto</t>
  </si>
  <si>
    <t>Mayck Wilyan da Silva da Silva</t>
  </si>
  <si>
    <t>Melyssa Cardenas da Silva</t>
  </si>
  <si>
    <t>Michael Taylor Meneses dos Santos</t>
  </si>
  <si>
    <t>Myckaell Magno Pinheiro Alves da Silva</t>
  </si>
  <si>
    <t>Nathan David Santos da Silva</t>
  </si>
  <si>
    <t>Nicolas Batalha dos Santos</t>
  </si>
  <si>
    <t>Otavio Felipe Leite da Silva</t>
  </si>
  <si>
    <t>Pedro Henrique Azevedo de Lima</t>
  </si>
  <si>
    <t>Pedro Henrique de Araujo</t>
  </si>
  <si>
    <t>Pedro Ivo Veloso de Brito</t>
  </si>
  <si>
    <t>Pedro Lucas Pereira de Souza</t>
  </si>
  <si>
    <t>Raysa Vitoria de Sena Silva</t>
  </si>
  <si>
    <t>Rebeka Vitoria Magalhaes da Silva</t>
  </si>
  <si>
    <t>Renan Breno de Melo Barros</t>
  </si>
  <si>
    <t>Renato dos Santos Correa Filho</t>
  </si>
  <si>
    <t>Rodrigo Joseph da Silva Martins</t>
  </si>
  <si>
    <t>Rosangela Evelin da Silva Martins</t>
  </si>
  <si>
    <t>Sarah Vitoria Mendes dos Santos</t>
  </si>
  <si>
    <t>Sara Marta Souza da Silva</t>
  </si>
  <si>
    <t>Sidney Figueredo da Graca</t>
  </si>
  <si>
    <t>Thayllon Jhonatan Ferreira dos Santos</t>
  </si>
  <si>
    <t>Thayna Sophia Bezerra Garcia Souza de Assis</t>
  </si>
  <si>
    <t>Victor Gabriel de Jesus Correa da Luz</t>
  </si>
  <si>
    <t>Vinicius Luis Oliveira da Silva</t>
  </si>
  <si>
    <t>Wendny Gabrielly da Silva Ribeiro</t>
  </si>
  <si>
    <t>Yasmim da Silva Soares</t>
  </si>
  <si>
    <t>Yasmin Jhessica Azevedo de Azevedo</t>
  </si>
  <si>
    <t>Yosefe Gabriel dos Santos Viegas</t>
  </si>
  <si>
    <t>SUBSTITUIR(SUBSTITUIR(SUBSTITUIR(SUBSTITUIR(dados_coletados!I2; " Da "; " da "); " De "; " de "); " Do "; " do "); " Dos "; " dos ")</t>
  </si>
  <si>
    <t>Lindalva Silva Ferreira</t>
  </si>
  <si>
    <t>Lilia Raquel Matos Guimaraes</t>
  </si>
  <si>
    <t>Keila Nunes Veloso</t>
  </si>
  <si>
    <t>Valdilene Silva Martins</t>
  </si>
  <si>
    <t>Maria Tereza Silva Ferreira Castro</t>
  </si>
  <si>
    <t>Edvania Feitosa Maciel</t>
  </si>
  <si>
    <t>Jozilene Medeiros Diniz</t>
  </si>
  <si>
    <t>Wenna Lopes Silva</t>
  </si>
  <si>
    <t>Karliany Brito Marques</t>
  </si>
  <si>
    <t>Geisa Aline Lisboa Santos Amado</t>
  </si>
  <si>
    <t>Ada Rubia Nunes Martins</t>
  </si>
  <si>
    <t>Jhessica Hellen Gonçalves Silva</t>
  </si>
  <si>
    <t>Celyjane Maruska Santos Sousa</t>
  </si>
  <si>
    <t>Samira Kerli Costa Vieira</t>
  </si>
  <si>
    <t>Maria Leonice Gomes Sousa</t>
  </si>
  <si>
    <t>Rubnelma Melonio Lima</t>
  </si>
  <si>
    <t>Raimunda D`Jesus Freitas Gonçalves</t>
  </si>
  <si>
    <t>Ketllin Haquel Monteiro Mendes</t>
  </si>
  <si>
    <t>Samyra Raquel Gomes Miranda</t>
  </si>
  <si>
    <t>Yaskara Sousa Silva</t>
  </si>
  <si>
    <t>Jaina Dutra Ataide</t>
  </si>
  <si>
    <t>Ana Amélia Santos Costa</t>
  </si>
  <si>
    <t>Ana Lidia Barbosa Fonseca</t>
  </si>
  <si>
    <t>Damiana Silva Correia</t>
  </si>
  <si>
    <t>Ana Paula Silva Bezerra</t>
  </si>
  <si>
    <t>Daniele Ferreira</t>
  </si>
  <si>
    <t>Gwinity Pinheiro Garros Rodrigues</t>
  </si>
  <si>
    <t>Patricia Filgueiras Barbosa</t>
  </si>
  <si>
    <t>Tatiana Guimaraes</t>
  </si>
  <si>
    <t>Rafaela Alves Martins</t>
  </si>
  <si>
    <t>Joanilce Marques Tavares</t>
  </si>
  <si>
    <t>Jaquiene  Alves Batista</t>
  </si>
  <si>
    <t>Werllane Barros Ferreira</t>
  </si>
  <si>
    <t>Jessica Maria Lima Silva</t>
  </si>
  <si>
    <t>Elizianne Froes Leite Rabelo</t>
  </si>
  <si>
    <t>Renata Oliveira Machado</t>
  </si>
  <si>
    <t>Marcia Gorete Lisboa Sa</t>
  </si>
  <si>
    <t>Vera Lucia Galeno Costa</t>
  </si>
  <si>
    <t>Solange Rodrigues Coelho</t>
  </si>
  <si>
    <t>Josenilde Pereira Ribeiro</t>
  </si>
  <si>
    <t>Meirileia Cantanhede E Cantanhede</t>
  </si>
  <si>
    <t>Suelen Lindoso Pinheiro</t>
  </si>
  <si>
    <t>Cleonice Aparecida Maia Medeiros</t>
  </si>
  <si>
    <t>Isabel Cristina Mendes Carvalho</t>
  </si>
  <si>
    <t>Luana Cristina Almeida</t>
  </si>
  <si>
    <t>Elisangela Everton Martins</t>
  </si>
  <si>
    <t>Elida Cristina Frazão Lobato</t>
  </si>
  <si>
    <t>Maria Margarida Barros Coelho</t>
  </si>
  <si>
    <t>Kletiana Farias Rabelo</t>
  </si>
  <si>
    <t>Glaucia Rosane Franca Moraes</t>
  </si>
  <si>
    <t>Cleuciane Lira Coutinho Ribeiro</t>
  </si>
  <si>
    <t>Katia Solange Lemos Viegas</t>
  </si>
  <si>
    <t>Dilma Alves</t>
  </si>
  <si>
    <t>Dayana Fernanda Sousa Pinto</t>
  </si>
  <si>
    <t>Joseane Neves Ferreira</t>
  </si>
  <si>
    <t>Marta Melo Batista</t>
  </si>
  <si>
    <t>Edivania Freire Lima</t>
  </si>
  <si>
    <t>Iane Saldanha Pontes</t>
  </si>
  <si>
    <t>Izaura Salome Oliveira Damascena</t>
  </si>
  <si>
    <t>Luziane Correia Franca</t>
  </si>
  <si>
    <t>Marilene Costa Sousa</t>
  </si>
  <si>
    <t>Sueny Maria Aguiar Barbosa</t>
  </si>
  <si>
    <t>Juanilde Vieira Maranhão</t>
  </si>
  <si>
    <t>Keila Maria Sousa Rocha</t>
  </si>
  <si>
    <t>Andreia Nogueira Santos</t>
  </si>
  <si>
    <t>Iralice Silva Mourao</t>
  </si>
  <si>
    <t>Cristiane Luz Santiago</t>
  </si>
  <si>
    <t>Ingrid Passos</t>
  </si>
  <si>
    <t>Luciane Gomes Silva</t>
  </si>
  <si>
    <t>Andressa Polyana Costa Vale</t>
  </si>
  <si>
    <t>Djany Suelly Martins Coelho</t>
  </si>
  <si>
    <t>Lianka Layla Garcias Diniz</t>
  </si>
  <si>
    <t>Geuzani Alves Pereira</t>
  </si>
  <si>
    <t>Karuline Viegas Saraiva Ayres</t>
  </si>
  <si>
    <t>Kaynara Noronha Bezerra Cruz Pinto</t>
  </si>
  <si>
    <t>Fabiane Louzeiro Correia</t>
  </si>
  <si>
    <t>Lucilene Santos Sousa</t>
  </si>
  <si>
    <t>Arlene Bezerra Enes</t>
  </si>
  <si>
    <t>Karen Bianca Souza Santos</t>
  </si>
  <si>
    <t>Jousyane Araujo Vieira</t>
  </si>
  <si>
    <t>Maria Jose Campelo Gama</t>
  </si>
  <si>
    <t>Gleidilene Carvalho Mendes</t>
  </si>
  <si>
    <t>Francy Rose Pereira Barroso</t>
  </si>
  <si>
    <t>Antonilde Alves Cunha</t>
  </si>
  <si>
    <t>Veranice Silva Barbosa</t>
  </si>
  <si>
    <t>Kaciane Pereira Teixeira</t>
  </si>
  <si>
    <t>Heila Suely Costa Silva</t>
  </si>
  <si>
    <t>Joelma Maria Silva Brito</t>
  </si>
  <si>
    <t>Erika Fernanda Silva Sousa</t>
  </si>
  <si>
    <t>Maria Eline Ribeiro Miguens</t>
  </si>
  <si>
    <t>Lucelia Gomes Vale</t>
  </si>
  <si>
    <t>Jhesse Jordanne Cutrim Martins</t>
  </si>
  <si>
    <t>Irenilde Silva</t>
  </si>
  <si>
    <t>Maria Antônia Pereira Araujo</t>
  </si>
  <si>
    <t>Michelle Costa Vale</t>
  </si>
  <si>
    <t>Izanclei Muniz Sardinha</t>
  </si>
  <si>
    <t>Ana Caroline Braga Pacheco</t>
  </si>
  <si>
    <t>Ana Caroline Braga</t>
  </si>
  <si>
    <t>Varnilda Soares Silva</t>
  </si>
  <si>
    <t>Ana Claudia Chagas</t>
  </si>
  <si>
    <t>Francivania Vieira Soares</t>
  </si>
  <si>
    <t>Judilene Lemos Batalha</t>
  </si>
  <si>
    <t>Floracy Silva Leite</t>
  </si>
  <si>
    <t>Naagilla Silva Sampaio Correia</t>
  </si>
  <si>
    <t>Micilene Souza</t>
  </si>
  <si>
    <t>Eliziene Marcia Castro Pinheiro</t>
  </si>
  <si>
    <t>Danielle Cristina Castro Rodrigues</t>
  </si>
  <si>
    <t>Gessyca Vanessa Pereira</t>
  </si>
  <si>
    <t>Gleiciane Sousa Ferreira</t>
  </si>
  <si>
    <t>Rita Maria Maranhão Cardoso</t>
  </si>
  <si>
    <t>Joseane Araujo Sousa</t>
  </si>
  <si>
    <t>Nubia Cristina Oliveira Reis Freire</t>
  </si>
  <si>
    <t>Maria Alice Santos Magalhães</t>
  </si>
  <si>
    <t>Aleandra Monteiro Dias</t>
  </si>
  <si>
    <t>Ana Beatriz Silva Ramos</t>
  </si>
  <si>
    <t>Rafaela Ribeiro Martins</t>
  </si>
  <si>
    <t>Dayanne Sousa Costa Fernandes</t>
  </si>
  <si>
    <t>Alanna Rodrigues Nascimento</t>
  </si>
  <si>
    <t>Rakyelma Araujo Ribeiro Pires</t>
  </si>
  <si>
    <t>Nadia Surama Sousa Vaz</t>
  </si>
  <si>
    <t>Alcirene Silva Figueredo</t>
  </si>
  <si>
    <t>Elinunes Pimenta</t>
  </si>
  <si>
    <t>Carliane Viana Amaral</t>
  </si>
  <si>
    <t>Mahendra Thamyres Bastos Maranhao</t>
  </si>
  <si>
    <t>Taciane Mendes Pinto</t>
  </si>
  <si>
    <t>Carla Bianca Gonçalves Serra</t>
  </si>
  <si>
    <t>Etna Roxane Barros Ferreira</t>
  </si>
  <si>
    <t>Thacila Kristinny Bezerra Garcia</t>
  </si>
  <si>
    <t>Nathalya Alves Goncalves</t>
  </si>
  <si>
    <t>Darliane Silva Oliveira</t>
  </si>
  <si>
    <t>Tahgella Serra Pinheiro</t>
  </si>
  <si>
    <t>Leidiane Ribeiro Martins</t>
  </si>
  <si>
    <t>Deuziane Cardoso Mesquita</t>
  </si>
  <si>
    <t>Crysthian Gregory Abreu Costa</t>
  </si>
  <si>
    <t>Adanias Nogueira</t>
  </si>
  <si>
    <t>Marcello Carvalho Bittencourt</t>
  </si>
  <si>
    <t>Roberto Correia Alves</t>
  </si>
  <si>
    <t>Irandir Araujo Nunes</t>
  </si>
  <si>
    <t>Harrison Rodrigues Martins</t>
  </si>
  <si>
    <t>Josivaldo Gomes Costa</t>
  </si>
  <si>
    <t>Manoel Pereira Castro Neto</t>
  </si>
  <si>
    <t>Jamilson Menezes Freitas</t>
  </si>
  <si>
    <t>Paulo Roberto Araujo Silva</t>
  </si>
  <si>
    <t>André Martins Marques</t>
  </si>
  <si>
    <t>Thales Santos Frazão</t>
  </si>
  <si>
    <t>Josué Alves Bezerra Junior</t>
  </si>
  <si>
    <t>Raimundo José Ferreira Amado</t>
  </si>
  <si>
    <t>Eliedson Barbosa Castro</t>
  </si>
  <si>
    <t>Antonio Vitorio Lopes</t>
  </si>
  <si>
    <t>Dyeisson Neves Ferreira</t>
  </si>
  <si>
    <t>Jefferson Silberth Silva Carvalho</t>
  </si>
  <si>
    <t>Norberto Silva Borges Junior</t>
  </si>
  <si>
    <t>Romilson Melo Muniz</t>
  </si>
  <si>
    <t>Augusto Conte Silva Correa</t>
  </si>
  <si>
    <t>Ludernaik Oliveira Martins</t>
  </si>
  <si>
    <t>Eduardo Bruno Brito Alves</t>
  </si>
  <si>
    <t>Jefferson Bruno Barros Reis</t>
  </si>
  <si>
    <t>Flavio Machado Rosa</t>
  </si>
  <si>
    <t>Carlos Jonas Ribeiro Frazão</t>
  </si>
  <si>
    <t>Josiel Fonseca</t>
  </si>
  <si>
    <t>Vicente Castro Leite</t>
  </si>
  <si>
    <t>Kelson Diones Carvalho Santiago</t>
  </si>
  <si>
    <t>Wanderley Lopes Costa</t>
  </si>
  <si>
    <t>Paulo Ricardo Nunes Cabral</t>
  </si>
  <si>
    <t>Antonio Cleuton Rodrigues</t>
  </si>
  <si>
    <t>Alisson E Silva Barbosa</t>
  </si>
  <si>
    <t>Dielmilson Soares Ferreira</t>
  </si>
  <si>
    <t>Diego Ferreira</t>
  </si>
  <si>
    <t>Celso Luis Guimarães</t>
  </si>
  <si>
    <t>Gilvan Bastos Lima</t>
  </si>
  <si>
    <t>Elder Perreira Serejo</t>
  </si>
  <si>
    <t>Davi Marcelo Santos Rabelo</t>
  </si>
  <si>
    <t>Mazzukyer Croiff Rego Sousa</t>
  </si>
  <si>
    <t>Manoel Fernandes Sousa</t>
  </si>
  <si>
    <t>Francisco Alves Reis Filho</t>
  </si>
  <si>
    <t>Jacinaldo Cardoso Ribeiro</t>
  </si>
  <si>
    <t>José Benedito Brito Junior</t>
  </si>
  <si>
    <t>Paulo Ricardo Pinto Castro</t>
  </si>
  <si>
    <t>Sergio Sousa Alderaldo</t>
  </si>
  <si>
    <t>Marcelo Ximenes Mouzinho</t>
  </si>
  <si>
    <t>Michel Araujo Rubim</t>
  </si>
  <si>
    <t>Alex Angelo Sebastiao Martins</t>
  </si>
  <si>
    <t>Thertualiano Braga</t>
  </si>
  <si>
    <t>Mauro Henrique Oliveira</t>
  </si>
  <si>
    <t>Fagner Alves Santos</t>
  </si>
  <si>
    <t>Kleiton Robson Bastos Teixeira</t>
  </si>
  <si>
    <t>Henrique Jorge Ramos Brito</t>
  </si>
  <si>
    <t>Jadielson Torres Pimentel</t>
  </si>
  <si>
    <t>Jairo Alfonso Diaz Laverde</t>
  </si>
  <si>
    <t>Alexandre Costa Ribeiro</t>
  </si>
  <si>
    <t>José Sergio Brandão Gonçalves</t>
  </si>
  <si>
    <t>Jonilson Dias Brito</t>
  </si>
  <si>
    <t>Carlos Magno Machado Pinto</t>
  </si>
  <si>
    <t>Elenilton Choairy Ferraz</t>
  </si>
  <si>
    <t>Teones Cantanhede</t>
  </si>
  <si>
    <t>Jean Carlos Silva Boaes</t>
  </si>
  <si>
    <t>William Moreno Lago</t>
  </si>
  <si>
    <t>Antonio Luis Santos Rodrigues</t>
  </si>
  <si>
    <t>José Mauro Castro Corvelo Junior</t>
  </si>
  <si>
    <t>Joao Batista Soares Junior</t>
  </si>
  <si>
    <t>Pedro Alexandrino Carvalho Santiago Junior</t>
  </si>
  <si>
    <t>Jose Mendes Filho</t>
  </si>
  <si>
    <t>Jonh Michael Sousa Machado Alves</t>
  </si>
  <si>
    <t>Luis Claudio Silva Martins</t>
  </si>
  <si>
    <t>Anselmo Santos Ayres</t>
  </si>
  <si>
    <t>Antonio Oliveira Barbosa</t>
  </si>
  <si>
    <t>Welton Fonseca Pinto</t>
  </si>
  <si>
    <t>Jose Carlos Azevedo</t>
  </si>
  <si>
    <t>Lucas Pinto Soares</t>
  </si>
  <si>
    <t>Neuton Muniz</t>
  </si>
  <si>
    <t>Cleyton Souza</t>
  </si>
  <si>
    <t>Alisson Bruno Santos Costa</t>
  </si>
  <si>
    <t>Raul Ribeiro Martins</t>
  </si>
  <si>
    <t>Robson Teixeira Martins</t>
  </si>
  <si>
    <t>José Ribamar Martins Pinheiro</t>
  </si>
  <si>
    <t>Agnaldo Carvalho Oliveira</t>
  </si>
  <si>
    <t>Marcos Rodnew Silva Sodré</t>
  </si>
  <si>
    <t>Marcos Antonio Silva</t>
  </si>
  <si>
    <t>Windoson Frank Sousa Matins</t>
  </si>
  <si>
    <t>Vilson Tadeu Lima Santos</t>
  </si>
  <si>
    <t>Rubem Mendes Costa</t>
  </si>
  <si>
    <t>Jakson Galca Cantanhede</t>
  </si>
  <si>
    <t>Valdir Muller Lago Neto</t>
  </si>
  <si>
    <t>Higor Thiago Reis Cunha</t>
  </si>
  <si>
    <t>Klebenilson Teixeira Marques</t>
  </si>
  <si>
    <t>Alleson Dantas Ferreira Junior</t>
  </si>
  <si>
    <t>Adailson Wysley Santoa Amorim</t>
  </si>
  <si>
    <t>Raul Araujo Silva</t>
  </si>
  <si>
    <t>Ipsoney Miranda Nogueira</t>
  </si>
  <si>
    <t>Antônio LuãS Santos Rodrigues</t>
  </si>
  <si>
    <t>Eliseu Pereira Calista</t>
  </si>
  <si>
    <t>Elisvaldo Frazão Coimbra</t>
  </si>
  <si>
    <t>Diego Fernando Cardenas Ramirez</t>
  </si>
  <si>
    <t>Rafael Mendonça Pacheco</t>
  </si>
  <si>
    <t>Isac Costa Sobrinho</t>
  </si>
  <si>
    <t>Rafael Menconça Pachúco</t>
  </si>
  <si>
    <t>Luis Alberto Pinheiro Ferreira</t>
  </si>
  <si>
    <t>Marcone George Moreira Correia</t>
  </si>
  <si>
    <t>Paulo Roberto Alipio Silva</t>
  </si>
  <si>
    <t>Adnilson Paulo Desterro</t>
  </si>
  <si>
    <t>Antônio LuãS Santos Araujo</t>
  </si>
  <si>
    <t>Paulo Henrique Almeida Costa</t>
  </si>
  <si>
    <t>Francinildo Viana Silva</t>
  </si>
  <si>
    <t>Victor Luis Rodrigues Correa</t>
  </si>
  <si>
    <t>Celio Pereira Martins</t>
  </si>
  <si>
    <t>Gerson Rodrigues Silva Ribeiro</t>
  </si>
  <si>
    <t>Ricardo Estevam Tavares Freire</t>
  </si>
  <si>
    <t>Diego Silva</t>
  </si>
  <si>
    <t>Cleiton Barros</t>
  </si>
  <si>
    <t>Antonio Carlos Moraes Gomes</t>
  </si>
  <si>
    <t>Railson Silva Barbosa</t>
  </si>
  <si>
    <t>Ronalde Costa Martins</t>
  </si>
  <si>
    <t>Diego Henrique Sousa Marques</t>
  </si>
  <si>
    <t>Gilson Ruy Nascimento Fernandes</t>
  </si>
  <si>
    <t>Carlos Alberto Oliveira Pires</t>
  </si>
  <si>
    <t>Josue Juan Goncalves Silva</t>
  </si>
  <si>
    <t>Jose Mauro Castro Corvelo</t>
  </si>
  <si>
    <t>Jailson Coúlho Martins</t>
  </si>
  <si>
    <t>Jardeson Carvalho Mendes</t>
  </si>
  <si>
    <t>Raimundo Nonato Serra</t>
  </si>
  <si>
    <t>Wykson Ney Muniz Pinheiro</t>
  </si>
  <si>
    <t>Michael Jackson Saraiva Rodrigues</t>
  </si>
  <si>
    <t>Anderson Alcantara Lima</t>
  </si>
  <si>
    <t>Macssuel Gusmao Pereira</t>
  </si>
  <si>
    <t>Wellington Lima Maciel</t>
  </si>
  <si>
    <t>Wendson Silva Ribeiro</t>
  </si>
  <si>
    <t>Henrique Caldas Ramos</t>
  </si>
  <si>
    <t>Gilson Costa Soares</t>
  </si>
  <si>
    <t>Félix Emiliano Araújo Azevedo</t>
  </si>
  <si>
    <t>Celso Domingos Cruz Azevedo</t>
  </si>
  <si>
    <t>Wygner Ramos Viegas</t>
  </si>
  <si>
    <t>Gracinaldo Mesquita</t>
  </si>
  <si>
    <t>Catharina Maria Azevedo Chaves</t>
  </si>
  <si>
    <t>Ana Patrícia Rodrigues Araújo</t>
  </si>
  <si>
    <t>Danielly Espindola Serra Santos</t>
  </si>
  <si>
    <t>Claudiane Silva Ferreira Pereira</t>
  </si>
  <si>
    <t>Flávia Silva Gonçalves</t>
  </si>
  <si>
    <t>Josiane Teixeira Ferreira</t>
  </si>
  <si>
    <t>Carla Patricia Medeiros Martins</t>
  </si>
  <si>
    <t>Gelzenira Rodrigues Camões</t>
  </si>
  <si>
    <t>Letícia Maria Cunha Costa</t>
  </si>
  <si>
    <t>Carliana Lima da Silva</t>
  </si>
  <si>
    <t>Allan Dias de Castro</t>
  </si>
  <si>
    <t>Andrea Patricia da Silva Estácio</t>
  </si>
  <si>
    <t>Franscisco das Chagas Feitosa</t>
  </si>
  <si>
    <t>Maria Jose do Nascimento Bastos Pinheiro</t>
  </si>
  <si>
    <t>Eduardo dos Santos Pinheiro</t>
  </si>
  <si>
    <t>Dayse Silva do Rosário Abreu</t>
  </si>
  <si>
    <t>Rafaela Costa do Nascimento</t>
  </si>
  <si>
    <t>Anny Karolynny de Sousa Machado</t>
  </si>
  <si>
    <t/>
  </si>
  <si>
    <t>Aline Figueiredo de Sousa Correa</t>
  </si>
  <si>
    <t>Andre Luis de Jesus Correa</t>
  </si>
  <si>
    <t>Uiron Marcos Everton da Silva</t>
  </si>
  <si>
    <t>Carmen Celia Ferreira de Sousa</t>
  </si>
  <si>
    <t>Rayanne Elaine Garcez da Silva</t>
  </si>
  <si>
    <t>Emanuel Monteiro de Lima</t>
  </si>
  <si>
    <t>Hugo Deleon Lima de Brito</t>
  </si>
  <si>
    <t>Tabda Campos de Sousa</t>
  </si>
  <si>
    <t>Eudes de Sousa Viana</t>
  </si>
  <si>
    <t>Cleonice de Jesus Mendes Costa</t>
  </si>
  <si>
    <t>Adriana de Fatima Ferreira de Oliveira</t>
  </si>
  <si>
    <t>Julio Morais de Araujo</t>
  </si>
  <si>
    <t>Joao da Cruz Martins dos Reis</t>
  </si>
  <si>
    <t>Eronilde da Silva Correia</t>
  </si>
  <si>
    <t>Luis Carlos Lima dos Santos</t>
  </si>
  <si>
    <t>Tiago Moraes Lima dos Santos</t>
  </si>
  <si>
    <t>Alterlene Oliveira da Silva</t>
  </si>
  <si>
    <t>Rosilene do Espírito Santo Bezerra</t>
  </si>
  <si>
    <t>Darlen Thalya de Sousa Nascimento</t>
  </si>
  <si>
    <t>Leuriane Lisboa de Sousa</t>
  </si>
  <si>
    <t>Deywison Silva do Rosario</t>
  </si>
  <si>
    <t>Jocely Santos Sousa da Silva</t>
  </si>
  <si>
    <t>Leandro Moreno da Silva</t>
  </si>
  <si>
    <t>Ozilene Silva de Jesus Martins</t>
  </si>
  <si>
    <t>Carlos Eduardo dos Santos Ferreira</t>
  </si>
  <si>
    <t>Euza Maria Sousa da Conceição</t>
  </si>
  <si>
    <t>Jose Ribamar Rodrigues da Silva Junior</t>
  </si>
  <si>
    <t>Elielma Santos da Silva</t>
  </si>
  <si>
    <t>Paulo Cesar Melo do Vale</t>
  </si>
  <si>
    <t>Dejenilce dos Santos Cabral</t>
  </si>
  <si>
    <t>Maria do Livramento Alves Machado</t>
  </si>
  <si>
    <t>John Michael de Sousa Machado Alves</t>
  </si>
  <si>
    <t>Edmilson de Jesus Mendes Silva Junior</t>
  </si>
  <si>
    <t>Jamerson Augusto dos Santos Melo</t>
  </si>
  <si>
    <t>Denise Rocha da Silva</t>
  </si>
  <si>
    <t>Valeria de Lourdes Cardoso Mendes</t>
  </si>
  <si>
    <t>Erenildo dos Santos</t>
  </si>
  <si>
    <t>Loiziane Lopes da Cruz</t>
  </si>
  <si>
    <t>Antonio Ivo Ferreira de Brito</t>
  </si>
  <si>
    <t>Josy Jane Garcia da Silva Serejo</t>
  </si>
  <si>
    <t>Izael dos Santos Ramos</t>
  </si>
  <si>
    <t>Marcia Rejane Vieira de Araújo</t>
  </si>
  <si>
    <t>Marcos Antonio Miranda de Araujo</t>
  </si>
  <si>
    <t>Elene Maria de Teixeira Oliveira</t>
  </si>
  <si>
    <t>Elton da Cruz Oliveira</t>
  </si>
  <si>
    <t>LuãS César de Souza Costa</t>
  </si>
  <si>
    <t>Elvis de Jesus Pinheiro Pereira</t>
  </si>
  <si>
    <t>Edilane de Sousa Sena</t>
  </si>
  <si>
    <t>Geovana Freitas Matos da Silva</t>
  </si>
  <si>
    <t>Flavio Rodrigues da Silva</t>
  </si>
  <si>
    <t>Alcilene Maria de Sousa</t>
  </si>
  <si>
    <t>Erinaldo dos Santos Calisto</t>
  </si>
  <si>
    <t>Duvalber Ferreira dos Santos Marques</t>
  </si>
  <si>
    <t>Rosivaldo de Jesus Rodrigues</t>
  </si>
  <si>
    <t>Maria de Lourdes Rodrigues dos Santos</t>
  </si>
  <si>
    <t>Danielle Nascimento de Sousa</t>
  </si>
  <si>
    <t>Elisandra da Silva Costa</t>
  </si>
  <si>
    <t>Luis Henrique de Sousa Lobato</t>
  </si>
  <si>
    <t>Laís Cristina Nascimento dos Santos</t>
  </si>
  <si>
    <t>Fernando Marques dos Santos</t>
  </si>
  <si>
    <t>Suzane de Jesus Sena Brandao</t>
  </si>
  <si>
    <t>Marcondes Antonio Ferreira da Silva</t>
  </si>
  <si>
    <t>Franciele de Maria Ramos Santos</t>
  </si>
  <si>
    <t>Noemi de Jesus Lopes Cardoso</t>
  </si>
  <si>
    <t>Wenderson de Freitas Lima</t>
  </si>
  <si>
    <t>Charlilson dos Santos Dutra</t>
  </si>
  <si>
    <t>Elilde Mendes da Silva</t>
  </si>
  <si>
    <t>Wilton de Assuncao Bezerra</t>
  </si>
  <si>
    <t>Ana Caroline Cunha do Nascimento de Sã</t>
  </si>
  <si>
    <t>Marcos Aurelio Licar de Sã</t>
  </si>
  <si>
    <t>Laysses dos Reis da Conceição</t>
  </si>
  <si>
    <t>Orlando de Azevedo Filho</t>
  </si>
  <si>
    <t>Leandro Oliveira do Espirito Santo</t>
  </si>
  <si>
    <t>Maria Cleide Lisboa da Silva</t>
  </si>
  <si>
    <t>Wagner Lopes de Oliveira</t>
  </si>
  <si>
    <t>Helder Guilherme da Silva Sousa</t>
  </si>
  <si>
    <t>Helenilza Carvalho da Silva</t>
  </si>
  <si>
    <t>Hilma Martins dos Santos</t>
  </si>
  <si>
    <t>Gerardo da Costa Soares</t>
  </si>
  <si>
    <t>Emanuel Jhonatas de Oliveira Lima</t>
  </si>
  <si>
    <t>Rosenilde Lopes do Nascimento</t>
  </si>
  <si>
    <t>Nancy de Oliveira Pinto</t>
  </si>
  <si>
    <t>João Paulo de Araujo Pinto</t>
  </si>
  <si>
    <t>Isadora de Vasconcelos Lopes</t>
  </si>
  <si>
    <t>Bernardo Pereira da Rocha</t>
  </si>
  <si>
    <t>Elson Adriano Silva dos Santos</t>
  </si>
  <si>
    <t>Heliziane Lima da Silva</t>
  </si>
  <si>
    <t>Marcelo da Silva Gomes</t>
  </si>
  <si>
    <t>Fagner de Macedo Damascena</t>
  </si>
  <si>
    <t>Limarcos Marques da Silva</t>
  </si>
  <si>
    <t>Adriana Kellen de Jesus Correia</t>
  </si>
  <si>
    <t>Paulo Ricardo Pereira da Silva</t>
  </si>
  <si>
    <t>Maria da Conceição dos Santos Soares</t>
  </si>
  <si>
    <t>Ivanildo Firmino da Conceição</t>
  </si>
  <si>
    <t>Neusa Maria Santos da Silva</t>
  </si>
  <si>
    <t>Josimiel Jorge da Silva</t>
  </si>
  <si>
    <t>Maria Antonia Pereira de Araujo</t>
  </si>
  <si>
    <t>Romulo de Almeida Barros</t>
  </si>
  <si>
    <t>Francisco de Jesus Mendes Sousa</t>
  </si>
  <si>
    <t>Simone Tereza da Neves</t>
  </si>
  <si>
    <t>Aliomar Barros de Oliveira</t>
  </si>
  <si>
    <t>Elcie Millena Gomes de Sousa Soares</t>
  </si>
  <si>
    <t>Geovane de Assis Araujo Pereira</t>
  </si>
  <si>
    <t>Wille Leonardo dos Santos de Oliveira</t>
  </si>
  <si>
    <t>Maria Aparecida dos Santos</t>
  </si>
  <si>
    <t>Thiago Deyvid de Assis Tavares</t>
  </si>
  <si>
    <t>Jhon Michael de Sousa Machado Alves</t>
  </si>
  <si>
    <t>Marcus Basilio Bruzaca de Sousa</t>
  </si>
  <si>
    <t>Aldineia de Jesus Martins Silva</t>
  </si>
  <si>
    <t>Jose Airton da Silva Junior</t>
  </si>
  <si>
    <t>Jailma de Araujo Almeida</t>
  </si>
  <si>
    <t>Willams de Sousa Brito Dutra</t>
  </si>
  <si>
    <t>José Ribamar de Souza Oliveira</t>
  </si>
  <si>
    <t>Flavia Regina Marques de Sousa</t>
  </si>
  <si>
    <t>Bildemar dos Santos Correia</t>
  </si>
  <si>
    <t>Conceição de Maria da Silva Barrozo</t>
  </si>
  <si>
    <t>Diego Fernando Frazao da Costa</t>
  </si>
  <si>
    <t>Samuel de Jesus Brito Filho</t>
  </si>
  <si>
    <t>Cintia dos Santos Sousa</t>
  </si>
  <si>
    <t>Deborah Fernanda Brito Perna dos Santos</t>
  </si>
  <si>
    <t>José Bento Pinheiro dos Santos Junior</t>
  </si>
  <si>
    <t>Antonio Carlos Ferreira da Silva</t>
  </si>
  <si>
    <t>Jessiane da Silva da Silva</t>
  </si>
  <si>
    <t>Paulo Alberto Brito de Sousa</t>
  </si>
  <si>
    <t>Nilsayne do Nascimento Pinto</t>
  </si>
  <si>
    <t>Angel Antonio dos Santos Moraes</t>
  </si>
  <si>
    <t>Ana Valeria Melo de Menezes</t>
  </si>
  <si>
    <t>Raudson Ronney da Silva Marques</t>
  </si>
  <si>
    <t>Lucinaldo de Assis Martins</t>
  </si>
  <si>
    <t>Sandra Sousa da Conceição</t>
  </si>
  <si>
    <t>Marcolino de Souza Neto</t>
  </si>
  <si>
    <t>Regia Santos do Nascimento</t>
  </si>
  <si>
    <t>Ana Maria Aguiar dos Santos</t>
  </si>
  <si>
    <t>Manoel Pereira de Sales</t>
  </si>
  <si>
    <t>Maiandra da Silva Santos</t>
  </si>
  <si>
    <t>Marcio Cesar dos Santos Ataide</t>
  </si>
  <si>
    <t>Raimunda dos Santos E Santos</t>
  </si>
  <si>
    <t>Patricia Cordeiro de Lima</t>
  </si>
  <si>
    <t>Marcelo Martins dos Santos</t>
  </si>
  <si>
    <t>Fabiane dos Santos Galca</t>
  </si>
  <si>
    <t>Sara da Silva Medeiros</t>
  </si>
  <si>
    <t>Vinicius Henrique da Silva Portela</t>
  </si>
  <si>
    <t>Byanca  Darlen Santos da Silva</t>
  </si>
  <si>
    <t>Maria Claudia dos Santos Calisto</t>
  </si>
  <si>
    <t>Marcilis de Jesus Ramos Araujo</t>
  </si>
  <si>
    <t>Barbara Raquel Sales da Silva</t>
  </si>
  <si>
    <t>Mayckswel Serra da Silva</t>
  </si>
  <si>
    <t>Fagner Alves dos Santos</t>
  </si>
  <si>
    <t>Anne Danielly da Silva Soares</t>
  </si>
  <si>
    <t>Patricia de Brito Meneses</t>
  </si>
  <si>
    <t>Maycon Vale dos Santos</t>
  </si>
  <si>
    <t>Vanessa de Sã Meneses Costa</t>
  </si>
  <si>
    <t>Joice Pinheiro da Silva</t>
  </si>
  <si>
    <t>Maxuell Alves da Silva</t>
  </si>
  <si>
    <t>Chislliane Santos da Silva</t>
  </si>
  <si>
    <t>Johnatan Araujo da Silva</t>
  </si>
  <si>
    <t>Antonio dos Reis Queiroz</t>
  </si>
  <si>
    <t>Cheysson Santos da Silva</t>
  </si>
  <si>
    <t>Otideney Neves da Silva</t>
  </si>
  <si>
    <t>Lidia Cristina Reis de Azevedo</t>
  </si>
  <si>
    <t>Eudes Junior Carneiro Reis de Lima</t>
  </si>
  <si>
    <t>Maria Antônia Pereira de Araujo</t>
  </si>
  <si>
    <t>Soraia Araujo da Silva Costa</t>
  </si>
  <si>
    <t>Reginaldo Costa de Souza</t>
  </si>
  <si>
    <t>Priscila de Brito Meneses</t>
  </si>
  <si>
    <t>Thalita Pestana de Sena</t>
  </si>
  <si>
    <t>Glistian Anderson da Silva Santos</t>
  </si>
  <si>
    <t>Thalyane dos Santos Melo</t>
  </si>
  <si>
    <t>Renato dos Santos Correa</t>
  </si>
  <si>
    <t>Amanda Araujo de Sousa</t>
  </si>
  <si>
    <t>Gislene dos Passos Barbosa</t>
  </si>
  <si>
    <t>Jose Ribamar Richarlisson da Silva Marques</t>
  </si>
  <si>
    <t>Joseline Nascimento da Silva Martins</t>
  </si>
  <si>
    <t>Izabelle dos Santos Ramos</t>
  </si>
  <si>
    <t>Jonoel de Jesus Queiroz</t>
  </si>
  <si>
    <t>Milene de Cassia Mendonca Moreira</t>
  </si>
  <si>
    <t>Elvys dos Santos Araujo</t>
  </si>
  <si>
    <t>Juarez da Conceição Rodrigues</t>
  </si>
  <si>
    <t>Dionisio da Silva Moreira Junior</t>
  </si>
  <si>
    <t>Tamara dos Santos Mendes</t>
  </si>
  <si>
    <t>Nilson Carlos Costa dos Santos</t>
  </si>
  <si>
    <t>Carla Mayra Souza da Silva</t>
  </si>
  <si>
    <t>Edilson Pires da Graca</t>
  </si>
  <si>
    <t>Danilo Alves do Nascimento Oliveira</t>
  </si>
  <si>
    <t>Simone Tereza das Neves</t>
  </si>
  <si>
    <t>Maria da Graça Gomes Maciel</t>
  </si>
  <si>
    <t>Dila dos Santos Amorim</t>
  </si>
  <si>
    <t>Kassio Nogueira da Costa</t>
  </si>
  <si>
    <t>Lauanderson dos Santos</t>
  </si>
  <si>
    <t>Alyson Souza de Assis</t>
  </si>
  <si>
    <t>Vanessa de Sa Meneses</t>
  </si>
  <si>
    <t>Adriana Kellen de Jesus Corrúa</t>
  </si>
  <si>
    <t>Gabriel Silva Ferreira da Luz</t>
  </si>
  <si>
    <t>Juliana Alves Oliveira da Silva</t>
  </si>
  <si>
    <t>Ermando de Oliveira da Silva Filho</t>
  </si>
  <si>
    <t>Angelly Santos da Silva Santos</t>
  </si>
  <si>
    <t>Maria de Fatima Viana da Silva</t>
  </si>
  <si>
    <t>Marcos Paulo de Oliveira Ribeiro</t>
  </si>
  <si>
    <t>Ana Leidia Mendes da Silva</t>
  </si>
  <si>
    <t>Pollyanna de Jesus Luzo</t>
  </si>
  <si>
    <t>Creudismar Azevedo de Azevedo</t>
  </si>
  <si>
    <t>Taynara Ingrid da Silva dos Santos</t>
  </si>
  <si>
    <t>2401 .::. São José de Ribamar</t>
  </si>
  <si>
    <t>Vespertino</t>
  </si>
  <si>
    <t>Matutino</t>
  </si>
  <si>
    <t>B</t>
  </si>
  <si>
    <t>9 ANO</t>
  </si>
  <si>
    <t>SÉRIE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</si>
</sst>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00\.000\.000\-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33333"/>
      <name val="Arial"/>
      <family val="2"/>
    </font>
    <font>
      <sz val="11"/>
      <color rgb="FF000000"/>
      <name val="Calibri"/>
      <family val="2"/>
      <scheme val="minor"/>
    </font>
    <font>
      <sz val="12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8" fillId="34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left" vertical="top"/>
    </xf>
    <xf numFmtId="0" fontId="19" fillId="0" borderId="0" xfId="0" applyFont="1" applyAlignment="1">
      <alignment vertical="center"/>
    </xf>
    <xf numFmtId="0" fontId="20" fillId="0" borderId="0" xfId="0" applyFont="1"/>
    <xf numFmtId="1" fontId="0" fillId="0" borderId="0" xfId="0" applyNumberFormat="1"/>
    <xf numFmtId="168" fontId="0" fillId="0" borderId="0" xfId="0" applyNumberFormat="1"/>
    <xf numFmtId="0" fontId="0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78"/>
  <sheetViews>
    <sheetView tabSelected="1" topLeftCell="Q1" workbookViewId="0">
      <selection activeCell="W1" sqref="W1"/>
    </sheetView>
  </sheetViews>
  <sheetFormatPr defaultRowHeight="15" x14ac:dyDescent="0.25"/>
  <cols>
    <col min="1" max="1" width="44.85546875" bestFit="1" customWidth="1"/>
    <col min="2" max="2" width="10.85546875" bestFit="1" customWidth="1"/>
    <col min="3" max="3" width="35.85546875" bestFit="1" customWidth="1"/>
    <col min="4" max="4" width="7.140625" bestFit="1" customWidth="1"/>
    <col min="5" max="5" width="6.5703125" bestFit="1" customWidth="1"/>
    <col min="6" max="6" width="7.42578125" bestFit="1" customWidth="1"/>
    <col min="7" max="7" width="12" bestFit="1" customWidth="1"/>
    <col min="8" max="8" width="9" bestFit="1" customWidth="1"/>
    <col min="9" max="9" width="40.85546875" bestFit="1" customWidth="1"/>
    <col min="10" max="10" width="13.140625" bestFit="1" customWidth="1"/>
    <col min="11" max="11" width="14" bestFit="1" customWidth="1"/>
    <col min="12" max="12" width="14.140625" style="7" bestFit="1" customWidth="1"/>
    <col min="13" max="14" width="11" bestFit="1" customWidth="1"/>
    <col min="15" max="15" width="10" bestFit="1" customWidth="1"/>
    <col min="16" max="17" width="14.85546875" bestFit="1" customWidth="1"/>
    <col min="18" max="18" width="6.42578125" bestFit="1" customWidth="1"/>
    <col min="19" max="19" width="10.28515625" bestFit="1" customWidth="1"/>
    <col min="20" max="20" width="41" bestFit="1" customWidth="1"/>
    <col min="21" max="21" width="18.85546875" bestFit="1" customWidth="1"/>
    <col min="22" max="22" width="9" bestFit="1" customWidth="1"/>
    <col min="23" max="23" width="46.5703125" bestFit="1" customWidth="1"/>
    <col min="24" max="24" width="26.5703125" bestFit="1" customWidth="1"/>
    <col min="25" max="25" width="4" bestFit="1" customWidth="1"/>
    <col min="26" max="26" width="39.140625" bestFit="1" customWidth="1"/>
    <col min="27" max="27" width="40.5703125" bestFit="1" customWidth="1"/>
    <col min="28" max="28" width="5.85546875" bestFit="1" customWidth="1"/>
    <col min="29" max="30" width="15.85546875" bestFit="1" customWidth="1"/>
    <col min="31" max="31" width="10.140625" bestFit="1" customWidth="1"/>
    <col min="32" max="32" width="12.140625" bestFit="1" customWidth="1"/>
  </cols>
  <sheetData>
    <row r="1" spans="1:32" x14ac:dyDescent="0.25">
      <c r="A1" t="s">
        <v>609</v>
      </c>
      <c r="B1" t="s">
        <v>610</v>
      </c>
      <c r="C1" t="s">
        <v>611</v>
      </c>
      <c r="D1" t="s">
        <v>612</v>
      </c>
      <c r="E1" t="s">
        <v>1392</v>
      </c>
      <c r="F1" t="s">
        <v>613</v>
      </c>
      <c r="G1" t="s">
        <v>614</v>
      </c>
      <c r="H1" t="s">
        <v>615</v>
      </c>
      <c r="I1" t="s">
        <v>589</v>
      </c>
      <c r="J1" t="s">
        <v>590</v>
      </c>
      <c r="K1" t="s">
        <v>585</v>
      </c>
      <c r="L1" s="7" t="s">
        <v>586</v>
      </c>
      <c r="M1" t="s">
        <v>591</v>
      </c>
      <c r="N1" t="s">
        <v>592</v>
      </c>
      <c r="O1" t="s">
        <v>593</v>
      </c>
      <c r="P1" t="s">
        <v>594</v>
      </c>
      <c r="Q1" t="s">
        <v>595</v>
      </c>
      <c r="R1" t="s">
        <v>596</v>
      </c>
      <c r="S1" t="s">
        <v>587</v>
      </c>
      <c r="T1" t="s">
        <v>597</v>
      </c>
      <c r="U1" t="s">
        <v>598</v>
      </c>
      <c r="V1" t="s">
        <v>599</v>
      </c>
      <c r="W1" s="9" t="s">
        <v>600</v>
      </c>
      <c r="X1" t="s">
        <v>601</v>
      </c>
      <c r="Y1" t="s">
        <v>588</v>
      </c>
      <c r="Z1" t="s">
        <v>602</v>
      </c>
      <c r="AA1" t="s">
        <v>603</v>
      </c>
      <c r="AB1" t="s">
        <v>604</v>
      </c>
      <c r="AC1" t="s">
        <v>605</v>
      </c>
      <c r="AD1" t="s">
        <v>606</v>
      </c>
      <c r="AE1" t="s">
        <v>607</v>
      </c>
      <c r="AF1" t="s">
        <v>608</v>
      </c>
    </row>
    <row r="2" spans="1:32" x14ac:dyDescent="0.25">
      <c r="A2" t="s">
        <v>519</v>
      </c>
      <c r="B2" t="s">
        <v>1388</v>
      </c>
      <c r="C2" t="s">
        <v>520</v>
      </c>
      <c r="D2" t="s">
        <v>523</v>
      </c>
      <c r="E2" t="s">
        <v>0</v>
      </c>
      <c r="F2" t="s">
        <v>1184</v>
      </c>
      <c r="I2" s="5" t="s">
        <v>797</v>
      </c>
      <c r="J2" s="1">
        <v>41210</v>
      </c>
      <c r="K2" s="8">
        <v>62401535322</v>
      </c>
      <c r="L2" s="7">
        <v>586116220160</v>
      </c>
      <c r="M2" t="s">
        <v>1</v>
      </c>
      <c r="N2" s="1">
        <v>42471</v>
      </c>
      <c r="O2" t="s">
        <v>2</v>
      </c>
      <c r="Q2" t="s">
        <v>3</v>
      </c>
      <c r="S2" t="s">
        <v>4</v>
      </c>
      <c r="T2" t="s">
        <v>5</v>
      </c>
      <c r="U2" t="s">
        <v>6</v>
      </c>
      <c r="V2">
        <v>10</v>
      </c>
      <c r="W2" t="s">
        <v>7</v>
      </c>
      <c r="X2" t="s">
        <v>521</v>
      </c>
      <c r="Y2" t="s">
        <v>8</v>
      </c>
      <c r="Z2" s="5" t="s">
        <v>1175</v>
      </c>
      <c r="AA2" s="5" t="s">
        <v>1176</v>
      </c>
      <c r="AB2" t="s">
        <v>9</v>
      </c>
      <c r="AC2" s="2">
        <v>45566.684027777781</v>
      </c>
      <c r="AD2" s="2">
        <v>45566.684027777781</v>
      </c>
    </row>
    <row r="3" spans="1:32" x14ac:dyDescent="0.25">
      <c r="A3" t="s">
        <v>519</v>
      </c>
      <c r="B3" t="s">
        <v>1389</v>
      </c>
      <c r="C3" t="s">
        <v>522</v>
      </c>
      <c r="D3" t="s">
        <v>523</v>
      </c>
      <c r="E3" t="s">
        <v>10</v>
      </c>
      <c r="F3" t="s">
        <v>1184</v>
      </c>
      <c r="I3" s="5" t="s">
        <v>798</v>
      </c>
      <c r="J3" s="1">
        <v>42441</v>
      </c>
      <c r="K3" s="8">
        <v>63622510323</v>
      </c>
      <c r="O3" t="s">
        <v>11</v>
      </c>
      <c r="Q3" t="s">
        <v>12</v>
      </c>
      <c r="S3" t="s">
        <v>4</v>
      </c>
      <c r="T3" t="s">
        <v>13</v>
      </c>
      <c r="U3" t="s">
        <v>14</v>
      </c>
      <c r="V3">
        <v>101</v>
      </c>
      <c r="W3" t="s">
        <v>15</v>
      </c>
      <c r="X3" t="s">
        <v>521</v>
      </c>
      <c r="Y3" t="s">
        <v>8</v>
      </c>
      <c r="Z3" s="5" t="s">
        <v>1177</v>
      </c>
      <c r="AA3" s="5" t="s">
        <v>1178</v>
      </c>
      <c r="AB3" t="s">
        <v>9</v>
      </c>
      <c r="AC3" s="2">
        <v>45568.322222222225</v>
      </c>
      <c r="AD3" s="2">
        <v>45568.322222222225</v>
      </c>
    </row>
    <row r="4" spans="1:32" x14ac:dyDescent="0.25">
      <c r="A4" t="s">
        <v>519</v>
      </c>
      <c r="B4" t="s">
        <v>1388</v>
      </c>
      <c r="C4" t="s">
        <v>520</v>
      </c>
      <c r="D4" t="s">
        <v>523</v>
      </c>
      <c r="E4" t="s">
        <v>16</v>
      </c>
      <c r="F4" t="s">
        <v>1184</v>
      </c>
      <c r="I4" s="5" t="s">
        <v>616</v>
      </c>
      <c r="J4" s="1">
        <v>40551</v>
      </c>
      <c r="K4" s="8">
        <v>62022470370</v>
      </c>
      <c r="L4" s="7">
        <v>544223920147</v>
      </c>
      <c r="M4" t="s">
        <v>1</v>
      </c>
      <c r="N4" s="1">
        <v>41940</v>
      </c>
      <c r="O4" t="s">
        <v>2</v>
      </c>
      <c r="S4" t="s">
        <v>4</v>
      </c>
      <c r="T4" t="s">
        <v>17</v>
      </c>
      <c r="U4" t="s">
        <v>6</v>
      </c>
      <c r="V4">
        <v>8</v>
      </c>
      <c r="W4" t="s">
        <v>524</v>
      </c>
      <c r="X4" t="s">
        <v>521</v>
      </c>
      <c r="Y4" t="s">
        <v>8</v>
      </c>
      <c r="Z4" s="5" t="s">
        <v>1179</v>
      </c>
      <c r="AA4" s="5" t="s">
        <v>1180</v>
      </c>
      <c r="AB4" t="s">
        <v>9</v>
      </c>
      <c r="AC4" s="2">
        <v>45581.614583333336</v>
      </c>
      <c r="AD4" s="2">
        <v>45583.308333333334</v>
      </c>
    </row>
    <row r="5" spans="1:32" x14ac:dyDescent="0.25">
      <c r="A5" t="s">
        <v>519</v>
      </c>
      <c r="B5" t="s">
        <v>1389</v>
      </c>
      <c r="C5" t="s">
        <v>522</v>
      </c>
      <c r="D5" t="s">
        <v>523</v>
      </c>
      <c r="E5" t="s">
        <v>18</v>
      </c>
      <c r="F5" t="s">
        <v>1184</v>
      </c>
      <c r="I5" s="5" t="s">
        <v>799</v>
      </c>
      <c r="J5" s="1">
        <v>42624</v>
      </c>
      <c r="K5" s="8">
        <v>9507684301</v>
      </c>
      <c r="O5" t="s">
        <v>2</v>
      </c>
      <c r="Q5" t="s">
        <v>19</v>
      </c>
      <c r="S5" t="s">
        <v>20</v>
      </c>
      <c r="T5" t="s">
        <v>21</v>
      </c>
      <c r="U5" t="s">
        <v>6</v>
      </c>
      <c r="V5">
        <v>321</v>
      </c>
      <c r="W5" t="s">
        <v>22</v>
      </c>
      <c r="X5" t="s">
        <v>1387</v>
      </c>
      <c r="Y5" t="s">
        <v>8</v>
      </c>
      <c r="Z5" s="5" t="s">
        <v>1181</v>
      </c>
      <c r="AA5" s="5" t="s">
        <v>1027</v>
      </c>
      <c r="AB5" t="s">
        <v>9</v>
      </c>
      <c r="AC5" s="2">
        <v>45567.353472222225</v>
      </c>
      <c r="AD5" s="2">
        <v>45567.433333333334</v>
      </c>
    </row>
    <row r="6" spans="1:32" x14ac:dyDescent="0.25">
      <c r="A6" t="s">
        <v>519</v>
      </c>
      <c r="B6" t="s">
        <v>1389</v>
      </c>
      <c r="C6" t="s">
        <v>522</v>
      </c>
      <c r="D6" t="s">
        <v>523</v>
      </c>
      <c r="E6" t="s">
        <v>23</v>
      </c>
      <c r="F6" t="s">
        <v>1184</v>
      </c>
      <c r="I6" s="5" t="s">
        <v>617</v>
      </c>
      <c r="J6" s="1">
        <v>41576</v>
      </c>
      <c r="K6" s="8">
        <v>63271129355</v>
      </c>
      <c r="O6" t="s">
        <v>2</v>
      </c>
      <c r="S6" t="s">
        <v>4</v>
      </c>
      <c r="T6" t="s">
        <v>24</v>
      </c>
      <c r="U6" t="s">
        <v>25</v>
      </c>
      <c r="V6">
        <v>20</v>
      </c>
      <c r="W6" t="s">
        <v>26</v>
      </c>
      <c r="X6" t="s">
        <v>521</v>
      </c>
      <c r="Y6" t="s">
        <v>8</v>
      </c>
      <c r="Z6" s="5" t="s">
        <v>1182</v>
      </c>
      <c r="AA6" s="5" t="s">
        <v>1028</v>
      </c>
      <c r="AB6" t="s">
        <v>9</v>
      </c>
      <c r="AC6" s="2">
        <v>45573.357638888891</v>
      </c>
      <c r="AD6" s="2">
        <v>45573.357638888891</v>
      </c>
    </row>
    <row r="7" spans="1:32" x14ac:dyDescent="0.25">
      <c r="A7" t="s">
        <v>519</v>
      </c>
      <c r="B7" t="s">
        <v>1388</v>
      </c>
      <c r="C7" t="s">
        <v>520</v>
      </c>
      <c r="D7" t="s">
        <v>523</v>
      </c>
      <c r="E7" t="s">
        <v>27</v>
      </c>
      <c r="F7" t="s">
        <v>1184</v>
      </c>
      <c r="I7" s="5" t="s">
        <v>618</v>
      </c>
      <c r="J7" s="1">
        <v>40848</v>
      </c>
      <c r="K7" s="8">
        <v>63208134312</v>
      </c>
      <c r="L7" s="7">
        <v>678293520182</v>
      </c>
      <c r="M7" t="s">
        <v>1</v>
      </c>
      <c r="N7" s="1">
        <v>43384</v>
      </c>
      <c r="O7" t="s">
        <v>11</v>
      </c>
      <c r="Q7" t="s">
        <v>28</v>
      </c>
      <c r="S7" t="s">
        <v>4</v>
      </c>
      <c r="T7" t="s">
        <v>29</v>
      </c>
      <c r="U7" t="s">
        <v>30</v>
      </c>
      <c r="V7">
        <v>3</v>
      </c>
      <c r="W7" t="s">
        <v>31</v>
      </c>
      <c r="X7" t="s">
        <v>521</v>
      </c>
      <c r="Y7" t="s">
        <v>8</v>
      </c>
      <c r="Z7" s="5" t="s">
        <v>1166</v>
      </c>
      <c r="AA7" s="5" t="s">
        <v>1029</v>
      </c>
      <c r="AB7" t="s">
        <v>9</v>
      </c>
      <c r="AC7" s="2">
        <v>45567.706944444442</v>
      </c>
      <c r="AD7" s="2">
        <v>45567.706944444442</v>
      </c>
    </row>
    <row r="8" spans="1:32" x14ac:dyDescent="0.25">
      <c r="A8" t="s">
        <v>519</v>
      </c>
      <c r="B8" t="s">
        <v>1389</v>
      </c>
      <c r="C8" t="s">
        <v>522</v>
      </c>
      <c r="D8" t="s">
        <v>523</v>
      </c>
      <c r="E8" t="s">
        <v>10</v>
      </c>
      <c r="F8" t="s">
        <v>1184</v>
      </c>
      <c r="I8" s="5" t="s">
        <v>619</v>
      </c>
      <c r="J8" s="1">
        <v>42229</v>
      </c>
      <c r="K8" s="8">
        <v>8559046232</v>
      </c>
      <c r="O8" t="s">
        <v>11</v>
      </c>
      <c r="Q8" t="s">
        <v>32</v>
      </c>
      <c r="S8" t="s">
        <v>4</v>
      </c>
      <c r="T8" t="s">
        <v>33</v>
      </c>
      <c r="U8" t="s">
        <v>34</v>
      </c>
      <c r="V8">
        <v>20</v>
      </c>
      <c r="W8" t="s">
        <v>31</v>
      </c>
      <c r="X8" t="s">
        <v>521</v>
      </c>
      <c r="Y8" t="s">
        <v>8</v>
      </c>
      <c r="Z8" s="5" t="s">
        <v>894</v>
      </c>
      <c r="AA8" s="5" t="s">
        <v>1030</v>
      </c>
      <c r="AB8" t="s">
        <v>9</v>
      </c>
      <c r="AC8" s="2">
        <v>45568.324305555558</v>
      </c>
      <c r="AD8" s="2">
        <v>45568.324305555558</v>
      </c>
    </row>
    <row r="9" spans="1:32" x14ac:dyDescent="0.25">
      <c r="A9" t="s">
        <v>519</v>
      </c>
      <c r="B9" t="s">
        <v>1388</v>
      </c>
      <c r="C9" t="s">
        <v>520</v>
      </c>
      <c r="D9" t="s">
        <v>523</v>
      </c>
      <c r="E9" t="s">
        <v>27</v>
      </c>
      <c r="F9" t="s">
        <v>1184</v>
      </c>
      <c r="I9" s="5" t="s">
        <v>800</v>
      </c>
      <c r="J9" s="1">
        <v>40032</v>
      </c>
      <c r="K9" s="8">
        <v>62629405370</v>
      </c>
      <c r="L9" s="7">
        <v>614637320177</v>
      </c>
      <c r="M9" t="s">
        <v>1</v>
      </c>
      <c r="N9" s="1">
        <v>42790</v>
      </c>
      <c r="O9" t="s">
        <v>2</v>
      </c>
      <c r="Q9" t="s">
        <v>35</v>
      </c>
      <c r="S9" t="s">
        <v>4</v>
      </c>
      <c r="T9" t="s">
        <v>36</v>
      </c>
      <c r="U9" t="s">
        <v>6</v>
      </c>
      <c r="V9">
        <v>12</v>
      </c>
      <c r="W9" t="s">
        <v>37</v>
      </c>
      <c r="X9" t="s">
        <v>521</v>
      </c>
      <c r="Y9" t="s">
        <v>8</v>
      </c>
      <c r="Z9" s="5" t="s">
        <v>1183</v>
      </c>
      <c r="AA9" t="s">
        <v>1184</v>
      </c>
      <c r="AB9" t="s">
        <v>9</v>
      </c>
      <c r="AC9" s="2">
        <v>45567.697222222225</v>
      </c>
      <c r="AD9" s="2">
        <v>45567.697222222225</v>
      </c>
    </row>
    <row r="10" spans="1:32" x14ac:dyDescent="0.25">
      <c r="A10" t="s">
        <v>519</v>
      </c>
      <c r="B10" t="s">
        <v>1388</v>
      </c>
      <c r="C10" t="s">
        <v>520</v>
      </c>
      <c r="D10" t="s">
        <v>523</v>
      </c>
      <c r="E10" t="s">
        <v>1391</v>
      </c>
      <c r="F10" t="s">
        <v>1390</v>
      </c>
      <c r="I10" s="5" t="s">
        <v>801</v>
      </c>
      <c r="J10" s="1">
        <v>40253</v>
      </c>
      <c r="K10" s="8">
        <v>61920925325</v>
      </c>
      <c r="L10" s="7">
        <v>532571120140</v>
      </c>
      <c r="M10" t="s">
        <v>1</v>
      </c>
      <c r="N10" s="1">
        <v>41837</v>
      </c>
      <c r="O10" t="s">
        <v>11</v>
      </c>
      <c r="Q10" t="s">
        <v>38</v>
      </c>
      <c r="S10" t="s">
        <v>4</v>
      </c>
      <c r="T10" t="s">
        <v>39</v>
      </c>
      <c r="U10" t="s">
        <v>30</v>
      </c>
      <c r="V10">
        <v>35</v>
      </c>
      <c r="W10" t="s">
        <v>40</v>
      </c>
      <c r="X10" t="s">
        <v>521</v>
      </c>
      <c r="Y10" t="s">
        <v>8</v>
      </c>
      <c r="Z10" s="5" t="s">
        <v>1185</v>
      </c>
      <c r="AA10" s="5" t="s">
        <v>1186</v>
      </c>
      <c r="AB10" t="s">
        <v>9</v>
      </c>
      <c r="AC10" s="2">
        <v>45574.661111111112</v>
      </c>
      <c r="AD10" s="2">
        <v>45583.322222222225</v>
      </c>
    </row>
    <row r="11" spans="1:32" x14ac:dyDescent="0.25">
      <c r="A11" t="s">
        <v>519</v>
      </c>
      <c r="B11" t="s">
        <v>1388</v>
      </c>
      <c r="C11" t="s">
        <v>520</v>
      </c>
      <c r="D11" t="s">
        <v>523</v>
      </c>
      <c r="E11" t="s">
        <v>0</v>
      </c>
      <c r="F11" t="s">
        <v>1184</v>
      </c>
      <c r="I11" s="5" t="s">
        <v>802</v>
      </c>
      <c r="J11" s="1">
        <v>41361</v>
      </c>
      <c r="K11" s="8">
        <v>62270235312</v>
      </c>
      <c r="L11" s="7">
        <v>570371120153</v>
      </c>
      <c r="M11" t="s">
        <v>1</v>
      </c>
      <c r="N11" s="1">
        <v>42263</v>
      </c>
      <c r="O11" t="s">
        <v>11</v>
      </c>
      <c r="Q11" t="s">
        <v>41</v>
      </c>
      <c r="S11" t="s">
        <v>4</v>
      </c>
      <c r="T11" t="s">
        <v>42</v>
      </c>
      <c r="U11" t="s">
        <v>30</v>
      </c>
      <c r="W11" t="s">
        <v>31</v>
      </c>
      <c r="X11" t="s">
        <v>521</v>
      </c>
      <c r="Y11" t="s">
        <v>8</v>
      </c>
      <c r="Z11" s="5" t="s">
        <v>895</v>
      </c>
      <c r="AA11" s="5" t="s">
        <v>1187</v>
      </c>
      <c r="AB11" t="s">
        <v>9</v>
      </c>
      <c r="AC11" s="2">
        <v>45566.654166666667</v>
      </c>
      <c r="AD11" s="2">
        <v>45566.654166666667</v>
      </c>
    </row>
    <row r="12" spans="1:32" x14ac:dyDescent="0.25">
      <c r="A12" t="s">
        <v>519</v>
      </c>
      <c r="B12" t="s">
        <v>1388</v>
      </c>
      <c r="C12" t="s">
        <v>520</v>
      </c>
      <c r="D12" t="s">
        <v>523</v>
      </c>
      <c r="E12" t="s">
        <v>1391</v>
      </c>
      <c r="F12" t="s">
        <v>106</v>
      </c>
      <c r="I12" s="5" t="s">
        <v>803</v>
      </c>
      <c r="J12" s="1">
        <v>40133</v>
      </c>
      <c r="K12" s="8">
        <v>62929571365</v>
      </c>
      <c r="L12" s="7">
        <v>647318120181</v>
      </c>
      <c r="M12" t="s">
        <v>1</v>
      </c>
      <c r="N12" s="1">
        <v>43122</v>
      </c>
      <c r="O12" t="s">
        <v>11</v>
      </c>
      <c r="Q12" t="s">
        <v>43</v>
      </c>
      <c r="S12" t="s">
        <v>20</v>
      </c>
      <c r="T12" t="s">
        <v>44</v>
      </c>
      <c r="U12" t="s">
        <v>30</v>
      </c>
      <c r="V12">
        <v>14</v>
      </c>
      <c r="W12" t="s">
        <v>45</v>
      </c>
      <c r="X12" t="s">
        <v>1387</v>
      </c>
      <c r="Y12" t="s">
        <v>8</v>
      </c>
      <c r="Z12" s="5" t="s">
        <v>1188</v>
      </c>
      <c r="AA12" s="5" t="s">
        <v>1031</v>
      </c>
      <c r="AB12" t="s">
        <v>9</v>
      </c>
      <c r="AC12" s="2">
        <v>45573.636111111111</v>
      </c>
      <c r="AD12" s="2">
        <v>45583.322222222225</v>
      </c>
    </row>
    <row r="13" spans="1:32" x14ac:dyDescent="0.25">
      <c r="A13" t="s">
        <v>519</v>
      </c>
      <c r="B13" t="s">
        <v>1389</v>
      </c>
      <c r="C13" t="s">
        <v>522</v>
      </c>
      <c r="D13" t="s">
        <v>523</v>
      </c>
      <c r="E13" t="s">
        <v>46</v>
      </c>
      <c r="F13" t="s">
        <v>1184</v>
      </c>
      <c r="I13" s="5" t="s">
        <v>620</v>
      </c>
      <c r="J13" s="1">
        <v>41905</v>
      </c>
      <c r="K13" s="8">
        <v>62566981345</v>
      </c>
      <c r="O13" t="s">
        <v>11</v>
      </c>
      <c r="S13" t="s">
        <v>4</v>
      </c>
      <c r="T13" t="s">
        <v>47</v>
      </c>
      <c r="U13" t="s">
        <v>48</v>
      </c>
      <c r="V13">
        <v>38</v>
      </c>
      <c r="W13" t="s">
        <v>40</v>
      </c>
      <c r="X13" t="s">
        <v>521</v>
      </c>
      <c r="Y13" t="s">
        <v>8</v>
      </c>
      <c r="Z13" s="5" t="s">
        <v>1189</v>
      </c>
      <c r="AA13" s="5" t="s">
        <v>1190</v>
      </c>
      <c r="AB13" t="s">
        <v>9</v>
      </c>
      <c r="AC13" s="2">
        <v>45568.409722222219</v>
      </c>
      <c r="AD13" s="2">
        <v>45568.409722222219</v>
      </c>
    </row>
    <row r="14" spans="1:32" x14ac:dyDescent="0.25">
      <c r="A14" t="s">
        <v>519</v>
      </c>
      <c r="B14" t="s">
        <v>1388</v>
      </c>
      <c r="C14" t="s">
        <v>520</v>
      </c>
      <c r="D14" t="s">
        <v>523</v>
      </c>
      <c r="E14" t="s">
        <v>1391</v>
      </c>
      <c r="F14" t="s">
        <v>106</v>
      </c>
      <c r="I14" s="5" t="s">
        <v>804</v>
      </c>
      <c r="J14" s="1">
        <v>40043</v>
      </c>
      <c r="K14" s="8">
        <v>62790011303</v>
      </c>
      <c r="L14" s="7">
        <v>632558820175</v>
      </c>
      <c r="M14" t="s">
        <v>1</v>
      </c>
      <c r="N14" s="1">
        <v>42984</v>
      </c>
      <c r="O14" t="s">
        <v>11</v>
      </c>
      <c r="Q14" t="s">
        <v>49</v>
      </c>
      <c r="S14" t="s">
        <v>4</v>
      </c>
      <c r="T14" t="s">
        <v>50</v>
      </c>
      <c r="U14" t="s">
        <v>30</v>
      </c>
      <c r="W14" t="s">
        <v>31</v>
      </c>
      <c r="X14" t="s">
        <v>521</v>
      </c>
      <c r="Y14" t="s">
        <v>8</v>
      </c>
      <c r="Z14" s="5" t="s">
        <v>896</v>
      </c>
      <c r="AA14" s="5" t="s">
        <v>1191</v>
      </c>
      <c r="AB14" t="s">
        <v>9</v>
      </c>
      <c r="AC14" s="2">
        <v>45574.60833333333</v>
      </c>
      <c r="AD14" s="2">
        <v>45574.60833333333</v>
      </c>
    </row>
    <row r="15" spans="1:32" x14ac:dyDescent="0.25">
      <c r="A15" t="s">
        <v>519</v>
      </c>
      <c r="B15" t="s">
        <v>1388</v>
      </c>
      <c r="C15" t="s">
        <v>520</v>
      </c>
      <c r="D15" t="s">
        <v>523</v>
      </c>
      <c r="E15" t="s">
        <v>27</v>
      </c>
      <c r="F15" t="s">
        <v>1184</v>
      </c>
      <c r="I15" s="5" t="s">
        <v>621</v>
      </c>
      <c r="J15" s="1">
        <v>40926</v>
      </c>
      <c r="K15" s="8">
        <v>62055718380</v>
      </c>
      <c r="L15" s="7">
        <v>547704020146</v>
      </c>
      <c r="M15" t="s">
        <v>1</v>
      </c>
      <c r="N15" s="1">
        <v>41983</v>
      </c>
      <c r="O15" t="s">
        <v>11</v>
      </c>
      <c r="Q15" t="s">
        <v>51</v>
      </c>
      <c r="S15" t="s">
        <v>4</v>
      </c>
      <c r="T15" t="s">
        <v>52</v>
      </c>
      <c r="U15" t="s">
        <v>30</v>
      </c>
      <c r="V15">
        <v>8</v>
      </c>
      <c r="W15" t="s">
        <v>53</v>
      </c>
      <c r="X15" t="s">
        <v>521</v>
      </c>
      <c r="Y15" t="s">
        <v>8</v>
      </c>
      <c r="Z15" s="5" t="s">
        <v>897</v>
      </c>
      <c r="AA15" s="5" t="s">
        <v>1032</v>
      </c>
      <c r="AB15" t="s">
        <v>9</v>
      </c>
      <c r="AC15" s="2">
        <v>45568.60833333333</v>
      </c>
      <c r="AD15" s="2">
        <v>45568.60833333333</v>
      </c>
    </row>
    <row r="16" spans="1:32" x14ac:dyDescent="0.25">
      <c r="A16" t="s">
        <v>519</v>
      </c>
      <c r="B16" t="s">
        <v>1388</v>
      </c>
      <c r="C16" t="s">
        <v>520</v>
      </c>
      <c r="D16" t="s">
        <v>523</v>
      </c>
      <c r="E16" t="s">
        <v>1391</v>
      </c>
      <c r="F16" t="s">
        <v>106</v>
      </c>
      <c r="I16" s="5" t="s">
        <v>805</v>
      </c>
      <c r="J16" s="1">
        <v>40203</v>
      </c>
      <c r="K16" s="8">
        <v>63629069347</v>
      </c>
      <c r="L16" s="7">
        <v>7291000620200</v>
      </c>
      <c r="M16" t="s">
        <v>1</v>
      </c>
      <c r="N16" s="1">
        <v>44056</v>
      </c>
      <c r="O16" t="s">
        <v>11</v>
      </c>
      <c r="Q16" t="s">
        <v>54</v>
      </c>
      <c r="S16" t="s">
        <v>4</v>
      </c>
      <c r="T16" t="s">
        <v>55</v>
      </c>
      <c r="U16" t="s">
        <v>30</v>
      </c>
      <c r="V16">
        <v>1</v>
      </c>
      <c r="W16" t="s">
        <v>56</v>
      </c>
      <c r="X16" t="s">
        <v>521</v>
      </c>
      <c r="Y16" t="s">
        <v>8</v>
      </c>
      <c r="Z16" s="5" t="s">
        <v>1192</v>
      </c>
      <c r="AA16" s="5" t="s">
        <v>1193</v>
      </c>
      <c r="AB16" t="s">
        <v>9</v>
      </c>
      <c r="AC16" s="2">
        <v>45574.595138888886</v>
      </c>
      <c r="AD16" s="2">
        <v>45583.322222222225</v>
      </c>
    </row>
    <row r="17" spans="1:30" x14ac:dyDescent="0.25">
      <c r="A17" t="s">
        <v>519</v>
      </c>
      <c r="B17" t="s">
        <v>1388</v>
      </c>
      <c r="C17" t="s">
        <v>520</v>
      </c>
      <c r="D17" t="s">
        <v>523</v>
      </c>
      <c r="E17" t="s">
        <v>1391</v>
      </c>
      <c r="F17" t="s">
        <v>106</v>
      </c>
      <c r="I17" s="5" t="s">
        <v>622</v>
      </c>
      <c r="J17" s="1">
        <v>40041</v>
      </c>
      <c r="K17" s="8">
        <v>62042472395</v>
      </c>
      <c r="L17" s="7">
        <v>546441920140</v>
      </c>
      <c r="M17" t="s">
        <v>1</v>
      </c>
      <c r="N17" s="1">
        <v>41967</v>
      </c>
      <c r="O17" t="s">
        <v>11</v>
      </c>
      <c r="Q17" t="s">
        <v>57</v>
      </c>
      <c r="S17" t="s">
        <v>4</v>
      </c>
      <c r="T17" t="s">
        <v>58</v>
      </c>
      <c r="U17" t="s">
        <v>59</v>
      </c>
      <c r="V17">
        <v>12</v>
      </c>
      <c r="W17" t="s">
        <v>37</v>
      </c>
      <c r="X17" t="s">
        <v>521</v>
      </c>
      <c r="Y17" t="s">
        <v>8</v>
      </c>
      <c r="Z17" s="5" t="s">
        <v>1194</v>
      </c>
      <c r="AA17" s="5" t="s">
        <v>1033</v>
      </c>
      <c r="AB17" t="s">
        <v>9</v>
      </c>
      <c r="AC17" s="2">
        <v>45574.592361111114</v>
      </c>
      <c r="AD17" s="2">
        <v>45583.322916666664</v>
      </c>
    </row>
    <row r="18" spans="1:30" x14ac:dyDescent="0.25">
      <c r="A18" t="s">
        <v>519</v>
      </c>
      <c r="B18" t="s">
        <v>1388</v>
      </c>
      <c r="C18" t="s">
        <v>520</v>
      </c>
      <c r="D18" t="s">
        <v>523</v>
      </c>
      <c r="E18" t="s">
        <v>1391</v>
      </c>
      <c r="F18" t="s">
        <v>106</v>
      </c>
      <c r="I18" s="5" t="s">
        <v>623</v>
      </c>
      <c r="J18" s="1">
        <v>40403</v>
      </c>
      <c r="K18" s="8">
        <v>61268896306</v>
      </c>
      <c r="L18" s="7">
        <v>467491320123</v>
      </c>
      <c r="M18" t="s">
        <v>1</v>
      </c>
      <c r="N18" s="1">
        <v>43331</v>
      </c>
      <c r="O18" t="s">
        <v>11</v>
      </c>
      <c r="Q18" t="s">
        <v>60</v>
      </c>
      <c r="S18" t="s">
        <v>4</v>
      </c>
      <c r="T18" t="s">
        <v>61</v>
      </c>
      <c r="U18" t="s">
        <v>30</v>
      </c>
      <c r="V18">
        <v>25</v>
      </c>
      <c r="W18" t="s">
        <v>62</v>
      </c>
      <c r="X18" t="s">
        <v>521</v>
      </c>
      <c r="Y18" t="s">
        <v>8</v>
      </c>
      <c r="Z18" s="5" t="s">
        <v>898</v>
      </c>
      <c r="AA18" s="5" t="s">
        <v>1034</v>
      </c>
      <c r="AB18" t="s">
        <v>9</v>
      </c>
      <c r="AC18" s="2">
        <v>45574.62222222222</v>
      </c>
      <c r="AD18" s="2">
        <v>45583.322916666664</v>
      </c>
    </row>
    <row r="19" spans="1:30" x14ac:dyDescent="0.25">
      <c r="A19" t="s">
        <v>519</v>
      </c>
      <c r="B19" t="s">
        <v>1388</v>
      </c>
      <c r="C19" t="s">
        <v>520</v>
      </c>
      <c r="D19" t="s">
        <v>523</v>
      </c>
      <c r="E19" t="s">
        <v>16</v>
      </c>
      <c r="F19" t="s">
        <v>1184</v>
      </c>
      <c r="I19" s="5" t="s">
        <v>624</v>
      </c>
      <c r="J19" s="1">
        <v>40537</v>
      </c>
      <c r="K19" s="8">
        <v>62047067308</v>
      </c>
      <c r="O19" t="s">
        <v>11</v>
      </c>
      <c r="S19" t="s">
        <v>4</v>
      </c>
      <c r="T19" t="s">
        <v>63</v>
      </c>
      <c r="U19" t="s">
        <v>6</v>
      </c>
      <c r="V19">
        <v>29</v>
      </c>
      <c r="W19" t="s">
        <v>7</v>
      </c>
      <c r="X19" t="s">
        <v>521</v>
      </c>
      <c r="Y19" t="s">
        <v>8</v>
      </c>
      <c r="Z19" s="5" t="s">
        <v>1195</v>
      </c>
      <c r="AA19" s="5" t="s">
        <v>1035</v>
      </c>
      <c r="AB19" t="s">
        <v>9</v>
      </c>
      <c r="AC19" s="2">
        <v>45581.342361111114</v>
      </c>
      <c r="AD19" s="2">
        <v>45581.342361111114</v>
      </c>
    </row>
    <row r="20" spans="1:30" x14ac:dyDescent="0.25">
      <c r="A20" t="s">
        <v>519</v>
      </c>
      <c r="B20" t="s">
        <v>1388</v>
      </c>
      <c r="C20" t="s">
        <v>520</v>
      </c>
      <c r="D20" t="s">
        <v>523</v>
      </c>
      <c r="E20" t="s">
        <v>1391</v>
      </c>
      <c r="F20" t="s">
        <v>1390</v>
      </c>
      <c r="I20" s="5" t="s">
        <v>625</v>
      </c>
      <c r="J20" s="1">
        <v>39995</v>
      </c>
      <c r="K20" s="8">
        <v>62472360347</v>
      </c>
      <c r="L20" s="7">
        <v>594872320167</v>
      </c>
      <c r="M20" t="s">
        <v>1</v>
      </c>
      <c r="N20" s="1">
        <v>42571</v>
      </c>
      <c r="O20" t="s">
        <v>11</v>
      </c>
      <c r="S20" t="s">
        <v>4</v>
      </c>
      <c r="T20" t="s">
        <v>64</v>
      </c>
      <c r="U20" t="s">
        <v>30</v>
      </c>
      <c r="V20">
        <v>27</v>
      </c>
      <c r="W20" t="s">
        <v>40</v>
      </c>
      <c r="X20" t="s">
        <v>521</v>
      </c>
      <c r="Y20" t="s">
        <v>8</v>
      </c>
      <c r="Z20" s="5" t="s">
        <v>1167</v>
      </c>
      <c r="AA20" s="5" t="s">
        <v>1196</v>
      </c>
      <c r="AB20" t="s">
        <v>9</v>
      </c>
      <c r="AC20" s="2">
        <v>45574.631249999999</v>
      </c>
      <c r="AD20" s="2">
        <v>45583.322916666664</v>
      </c>
    </row>
    <row r="21" spans="1:30" x14ac:dyDescent="0.25">
      <c r="A21" t="s">
        <v>519</v>
      </c>
      <c r="B21" t="s">
        <v>1388</v>
      </c>
      <c r="C21" t="s">
        <v>520</v>
      </c>
      <c r="D21" t="s">
        <v>523</v>
      </c>
      <c r="E21" t="s">
        <v>16</v>
      </c>
      <c r="F21" t="s">
        <v>1184</v>
      </c>
      <c r="I21" s="5" t="s">
        <v>806</v>
      </c>
      <c r="J21" s="1">
        <v>40444</v>
      </c>
      <c r="K21" s="8">
        <v>62050914377</v>
      </c>
      <c r="O21" t="s">
        <v>11</v>
      </c>
      <c r="S21" t="s">
        <v>4</v>
      </c>
      <c r="T21" t="s">
        <v>65</v>
      </c>
      <c r="U21" t="s">
        <v>30</v>
      </c>
      <c r="V21">
        <v>23</v>
      </c>
      <c r="W21" t="s">
        <v>45</v>
      </c>
      <c r="X21" t="s">
        <v>521</v>
      </c>
      <c r="Y21" t="s">
        <v>8</v>
      </c>
      <c r="Z21" s="5" t="s">
        <v>899</v>
      </c>
      <c r="AA21" s="5" t="s">
        <v>1197</v>
      </c>
      <c r="AB21" t="s">
        <v>9</v>
      </c>
      <c r="AC21" s="2">
        <v>45583.340277777781</v>
      </c>
      <c r="AD21" s="2">
        <v>45583.340277777781</v>
      </c>
    </row>
    <row r="22" spans="1:30" x14ac:dyDescent="0.25">
      <c r="A22" t="s">
        <v>519</v>
      </c>
      <c r="B22" t="s">
        <v>1389</v>
      </c>
      <c r="C22" t="s">
        <v>522</v>
      </c>
      <c r="D22" t="s">
        <v>523</v>
      </c>
      <c r="E22" t="s">
        <v>46</v>
      </c>
      <c r="F22" t="s">
        <v>1184</v>
      </c>
      <c r="I22" s="5" t="s">
        <v>626</v>
      </c>
      <c r="J22" s="1">
        <v>41899</v>
      </c>
      <c r="K22" s="8">
        <v>62535452308</v>
      </c>
      <c r="O22" t="s">
        <v>11</v>
      </c>
      <c r="S22" t="s">
        <v>4</v>
      </c>
      <c r="T22" t="s">
        <v>66</v>
      </c>
      <c r="U22" t="s">
        <v>67</v>
      </c>
      <c r="V22">
        <v>25</v>
      </c>
      <c r="W22" t="s">
        <v>68</v>
      </c>
      <c r="X22" t="s">
        <v>521</v>
      </c>
      <c r="Y22" t="s">
        <v>8</v>
      </c>
      <c r="Z22" s="5" t="s">
        <v>898</v>
      </c>
      <c r="AA22" s="5" t="s">
        <v>1034</v>
      </c>
      <c r="AB22" t="s">
        <v>9</v>
      </c>
      <c r="AC22" s="2">
        <v>45568.418055555558</v>
      </c>
      <c r="AD22" s="2">
        <v>45568.418055555558</v>
      </c>
    </row>
    <row r="23" spans="1:30" x14ac:dyDescent="0.25">
      <c r="A23" t="s">
        <v>519</v>
      </c>
      <c r="B23" t="s">
        <v>1388</v>
      </c>
      <c r="C23" t="s">
        <v>520</v>
      </c>
      <c r="D23" t="s">
        <v>523</v>
      </c>
      <c r="E23" t="s">
        <v>1391</v>
      </c>
      <c r="F23" t="s">
        <v>106</v>
      </c>
      <c r="I23" s="5" t="s">
        <v>627</v>
      </c>
      <c r="J23" s="1">
        <v>40059</v>
      </c>
      <c r="K23" s="8">
        <v>61733823344</v>
      </c>
      <c r="L23" s="7">
        <v>513689820147</v>
      </c>
      <c r="M23" t="s">
        <v>1</v>
      </c>
      <c r="N23" s="1">
        <v>41668</v>
      </c>
      <c r="O23" t="s">
        <v>11</v>
      </c>
      <c r="Q23" t="s">
        <v>69</v>
      </c>
      <c r="S23" t="s">
        <v>4</v>
      </c>
      <c r="T23" t="s">
        <v>70</v>
      </c>
      <c r="U23" t="s">
        <v>30</v>
      </c>
      <c r="V23">
        <v>8</v>
      </c>
      <c r="W23" t="s">
        <v>71</v>
      </c>
      <c r="X23" t="s">
        <v>521</v>
      </c>
      <c r="Y23" t="s">
        <v>8</v>
      </c>
      <c r="Z23" s="5" t="s">
        <v>900</v>
      </c>
      <c r="AA23" s="5" t="s">
        <v>1036</v>
      </c>
      <c r="AB23" t="s">
        <v>9</v>
      </c>
      <c r="AC23" s="2">
        <v>45574.589583333334</v>
      </c>
      <c r="AD23" s="2">
        <v>45583.322916666664</v>
      </c>
    </row>
    <row r="24" spans="1:30" x14ac:dyDescent="0.25">
      <c r="A24" t="s">
        <v>519</v>
      </c>
      <c r="B24" t="s">
        <v>1389</v>
      </c>
      <c r="C24" t="s">
        <v>522</v>
      </c>
      <c r="D24" t="s">
        <v>523</v>
      </c>
      <c r="E24" t="s">
        <v>10</v>
      </c>
      <c r="F24" t="s">
        <v>1184</v>
      </c>
      <c r="I24" s="5" t="s">
        <v>807</v>
      </c>
      <c r="J24" s="1">
        <v>42446</v>
      </c>
      <c r="K24" s="8">
        <v>62559759322</v>
      </c>
      <c r="O24" t="s">
        <v>11</v>
      </c>
      <c r="S24" t="s">
        <v>4</v>
      </c>
      <c r="T24" t="s">
        <v>72</v>
      </c>
      <c r="U24" t="s">
        <v>73</v>
      </c>
      <c r="V24">
        <v>9</v>
      </c>
      <c r="W24" t="s">
        <v>31</v>
      </c>
      <c r="X24" t="s">
        <v>521</v>
      </c>
      <c r="Y24" t="s">
        <v>8</v>
      </c>
      <c r="Z24" s="5" t="s">
        <v>1198</v>
      </c>
      <c r="AA24" s="5" t="s">
        <v>1199</v>
      </c>
      <c r="AB24" t="s">
        <v>9</v>
      </c>
      <c r="AC24" s="2">
        <v>45568.329861111109</v>
      </c>
      <c r="AD24" s="2">
        <v>45568.329861111109</v>
      </c>
    </row>
    <row r="25" spans="1:30" x14ac:dyDescent="0.25">
      <c r="A25" t="s">
        <v>519</v>
      </c>
      <c r="B25" t="s">
        <v>1388</v>
      </c>
      <c r="C25" t="s">
        <v>520</v>
      </c>
      <c r="D25" t="s">
        <v>523</v>
      </c>
      <c r="E25" t="s">
        <v>1391</v>
      </c>
      <c r="F25" t="s">
        <v>106</v>
      </c>
      <c r="I25" s="5" t="s">
        <v>628</v>
      </c>
      <c r="J25" s="1">
        <v>40037</v>
      </c>
      <c r="K25" s="8">
        <v>9378506321</v>
      </c>
      <c r="L25" s="7">
        <v>4744168</v>
      </c>
      <c r="M25" t="s">
        <v>1</v>
      </c>
      <c r="N25" s="1">
        <v>43111</v>
      </c>
      <c r="O25" t="s">
        <v>11</v>
      </c>
      <c r="Q25" t="s">
        <v>74</v>
      </c>
      <c r="S25" t="s">
        <v>20</v>
      </c>
      <c r="T25" t="s">
        <v>75</v>
      </c>
      <c r="U25" t="s">
        <v>6</v>
      </c>
      <c r="W25" t="s">
        <v>76</v>
      </c>
      <c r="X25" t="s">
        <v>1387</v>
      </c>
      <c r="Y25" t="s">
        <v>8</v>
      </c>
      <c r="Z25" s="5" t="s">
        <v>901</v>
      </c>
      <c r="AA25" s="5" t="s">
        <v>1200</v>
      </c>
      <c r="AB25" t="s">
        <v>9</v>
      </c>
      <c r="AC25" s="2">
        <v>45573.634027777778</v>
      </c>
      <c r="AD25" s="2">
        <v>45573.634027777778</v>
      </c>
    </row>
    <row r="26" spans="1:30" x14ac:dyDescent="0.25">
      <c r="A26" t="s">
        <v>519</v>
      </c>
      <c r="B26" t="s">
        <v>1389</v>
      </c>
      <c r="C26" t="s">
        <v>522</v>
      </c>
      <c r="D26" t="s">
        <v>523</v>
      </c>
      <c r="E26" t="s">
        <v>23</v>
      </c>
      <c r="F26" t="s">
        <v>1184</v>
      </c>
      <c r="I26" s="5" t="s">
        <v>629</v>
      </c>
      <c r="J26" s="1">
        <v>41308</v>
      </c>
      <c r="K26" s="8">
        <v>7599273328</v>
      </c>
      <c r="O26" t="s">
        <v>2</v>
      </c>
      <c r="S26" t="s">
        <v>4</v>
      </c>
      <c r="T26" t="s">
        <v>77</v>
      </c>
      <c r="U26" t="s">
        <v>78</v>
      </c>
      <c r="V26">
        <v>23</v>
      </c>
      <c r="W26" t="s">
        <v>15</v>
      </c>
      <c r="X26" t="s">
        <v>521</v>
      </c>
      <c r="Y26" t="s">
        <v>8</v>
      </c>
      <c r="Z26" s="5" t="s">
        <v>902</v>
      </c>
      <c r="AA26" s="5" t="s">
        <v>1037</v>
      </c>
      <c r="AB26" t="s">
        <v>9</v>
      </c>
      <c r="AC26" s="2">
        <v>45573.359722222223</v>
      </c>
      <c r="AD26" s="2">
        <v>45573.359722222223</v>
      </c>
    </row>
    <row r="27" spans="1:30" x14ac:dyDescent="0.25">
      <c r="A27" t="s">
        <v>519</v>
      </c>
      <c r="B27" t="s">
        <v>1389</v>
      </c>
      <c r="C27" t="s">
        <v>522</v>
      </c>
      <c r="D27" t="s">
        <v>523</v>
      </c>
      <c r="E27" t="s">
        <v>46</v>
      </c>
      <c r="F27" t="s">
        <v>1184</v>
      </c>
      <c r="I27" s="5" t="s">
        <v>630</v>
      </c>
      <c r="J27" s="1">
        <v>42086</v>
      </c>
      <c r="K27" s="8">
        <v>63304755390</v>
      </c>
      <c r="O27" t="s">
        <v>2</v>
      </c>
      <c r="S27" t="s">
        <v>20</v>
      </c>
      <c r="T27" t="s">
        <v>79</v>
      </c>
      <c r="U27" t="s">
        <v>80</v>
      </c>
      <c r="V27">
        <v>301</v>
      </c>
      <c r="W27" t="s">
        <v>81</v>
      </c>
      <c r="X27" t="s">
        <v>1387</v>
      </c>
      <c r="Y27" t="s">
        <v>8</v>
      </c>
      <c r="Z27" s="5" t="s">
        <v>1201</v>
      </c>
      <c r="AA27" s="5" t="s">
        <v>1038</v>
      </c>
      <c r="AB27" t="s">
        <v>9</v>
      </c>
      <c r="AC27" s="2">
        <v>45568.421527777777</v>
      </c>
      <c r="AD27" s="2">
        <v>45568.421527777777</v>
      </c>
    </row>
    <row r="28" spans="1:30" x14ac:dyDescent="0.25">
      <c r="A28" t="s">
        <v>519</v>
      </c>
      <c r="B28" t="s">
        <v>1389</v>
      </c>
      <c r="C28" t="s">
        <v>522</v>
      </c>
      <c r="D28" t="s">
        <v>523</v>
      </c>
      <c r="E28" t="s">
        <v>18</v>
      </c>
      <c r="F28" t="s">
        <v>1184</v>
      </c>
      <c r="I28" s="5" t="s">
        <v>808</v>
      </c>
      <c r="J28" s="1">
        <v>41828</v>
      </c>
      <c r="K28" s="8">
        <v>8042737319</v>
      </c>
      <c r="O28" t="s">
        <v>11</v>
      </c>
      <c r="Q28" t="s">
        <v>82</v>
      </c>
      <c r="S28" t="s">
        <v>4</v>
      </c>
      <c r="T28" t="s">
        <v>83</v>
      </c>
      <c r="U28" t="s">
        <v>84</v>
      </c>
      <c r="V28">
        <v>16</v>
      </c>
      <c r="W28" t="s">
        <v>31</v>
      </c>
      <c r="X28" t="s">
        <v>521</v>
      </c>
      <c r="Y28" t="s">
        <v>8</v>
      </c>
      <c r="Z28" s="5" t="s">
        <v>1202</v>
      </c>
      <c r="AA28" s="5" t="s">
        <v>1039</v>
      </c>
      <c r="AB28" t="s">
        <v>9</v>
      </c>
      <c r="AC28" s="2">
        <v>45567.35833333333</v>
      </c>
      <c r="AD28" s="2">
        <v>45567.434027777781</v>
      </c>
    </row>
    <row r="29" spans="1:30" x14ac:dyDescent="0.25">
      <c r="A29" t="s">
        <v>519</v>
      </c>
      <c r="B29" t="s">
        <v>1389</v>
      </c>
      <c r="C29" t="s">
        <v>522</v>
      </c>
      <c r="D29" t="s">
        <v>523</v>
      </c>
      <c r="E29" t="s">
        <v>46</v>
      </c>
      <c r="F29" t="s">
        <v>1184</v>
      </c>
      <c r="I29" s="5" t="s">
        <v>631</v>
      </c>
      <c r="J29" s="1">
        <v>42135</v>
      </c>
      <c r="K29" s="8">
        <v>8107689330</v>
      </c>
      <c r="O29" t="s">
        <v>2</v>
      </c>
      <c r="S29" t="s">
        <v>4</v>
      </c>
      <c r="T29" t="s">
        <v>85</v>
      </c>
      <c r="U29" t="s">
        <v>86</v>
      </c>
      <c r="V29">
        <v>20</v>
      </c>
      <c r="W29" t="s">
        <v>87</v>
      </c>
      <c r="X29" t="s">
        <v>521</v>
      </c>
      <c r="Y29" t="s">
        <v>8</v>
      </c>
      <c r="Z29" s="5" t="s">
        <v>903</v>
      </c>
      <c r="AA29" s="5" t="s">
        <v>1040</v>
      </c>
      <c r="AB29" t="s">
        <v>9</v>
      </c>
      <c r="AC29" s="2">
        <v>45568.423611111109</v>
      </c>
      <c r="AD29" s="2">
        <v>45568.423611111109</v>
      </c>
    </row>
    <row r="30" spans="1:30" x14ac:dyDescent="0.25">
      <c r="A30" t="s">
        <v>519</v>
      </c>
      <c r="B30" t="s">
        <v>1389</v>
      </c>
      <c r="C30" t="s">
        <v>522</v>
      </c>
      <c r="D30" t="s">
        <v>523</v>
      </c>
      <c r="E30" t="s">
        <v>18</v>
      </c>
      <c r="F30" t="s">
        <v>1184</v>
      </c>
      <c r="I30" s="5" t="s">
        <v>632</v>
      </c>
      <c r="J30" s="1">
        <v>42625</v>
      </c>
      <c r="K30" s="8">
        <v>63700340370</v>
      </c>
      <c r="O30" t="s">
        <v>11</v>
      </c>
      <c r="Q30" t="s">
        <v>88</v>
      </c>
      <c r="S30" t="s">
        <v>4</v>
      </c>
      <c r="T30" t="s">
        <v>89</v>
      </c>
      <c r="U30" t="s">
        <v>90</v>
      </c>
      <c r="V30">
        <v>15</v>
      </c>
      <c r="W30" t="s">
        <v>31</v>
      </c>
      <c r="X30" t="s">
        <v>521</v>
      </c>
      <c r="Y30" t="s">
        <v>8</v>
      </c>
      <c r="Z30" s="5" t="s">
        <v>1203</v>
      </c>
      <c r="AA30" s="5" t="s">
        <v>1041</v>
      </c>
      <c r="AB30" t="s">
        <v>9</v>
      </c>
      <c r="AC30" s="2">
        <v>45567.356944444444</v>
      </c>
      <c r="AD30" s="2">
        <v>45567.434027777781</v>
      </c>
    </row>
    <row r="31" spans="1:30" x14ac:dyDescent="0.25">
      <c r="A31" t="s">
        <v>519</v>
      </c>
      <c r="B31" t="s">
        <v>1388</v>
      </c>
      <c r="C31" t="s">
        <v>520</v>
      </c>
      <c r="D31" t="s">
        <v>523</v>
      </c>
      <c r="E31" t="s">
        <v>27</v>
      </c>
      <c r="F31" t="s">
        <v>1184</v>
      </c>
      <c r="I31" s="5" t="s">
        <v>633</v>
      </c>
      <c r="J31" s="1">
        <v>40973</v>
      </c>
      <c r="K31" s="8">
        <v>61740709306</v>
      </c>
      <c r="O31" t="s">
        <v>2</v>
      </c>
      <c r="Q31" t="s">
        <v>91</v>
      </c>
      <c r="S31" t="s">
        <v>4</v>
      </c>
      <c r="T31" t="s">
        <v>92</v>
      </c>
      <c r="U31" t="s">
        <v>6</v>
      </c>
      <c r="V31">
        <v>22</v>
      </c>
      <c r="W31" t="s">
        <v>525</v>
      </c>
      <c r="X31" t="s">
        <v>521</v>
      </c>
      <c r="Y31" t="s">
        <v>8</v>
      </c>
      <c r="Z31" s="5" t="s">
        <v>904</v>
      </c>
      <c r="AA31" s="5" t="s">
        <v>1042</v>
      </c>
      <c r="AB31" t="s">
        <v>9</v>
      </c>
      <c r="AC31" s="2">
        <v>45568.643750000003</v>
      </c>
      <c r="AD31" s="2">
        <v>45568.643750000003</v>
      </c>
    </row>
    <row r="32" spans="1:30" x14ac:dyDescent="0.25">
      <c r="A32" t="s">
        <v>519</v>
      </c>
      <c r="B32" t="s">
        <v>1389</v>
      </c>
      <c r="C32" t="s">
        <v>522</v>
      </c>
      <c r="D32" t="s">
        <v>523</v>
      </c>
      <c r="E32" t="s">
        <v>10</v>
      </c>
      <c r="F32" t="s">
        <v>1184</v>
      </c>
      <c r="I32" s="5" t="s">
        <v>634</v>
      </c>
      <c r="J32" s="1">
        <v>42406</v>
      </c>
      <c r="K32" s="8">
        <v>63205105362</v>
      </c>
      <c r="O32" t="s">
        <v>2</v>
      </c>
      <c r="S32" t="s">
        <v>4</v>
      </c>
      <c r="T32" t="s">
        <v>63</v>
      </c>
      <c r="U32" t="s">
        <v>93</v>
      </c>
      <c r="V32">
        <v>5</v>
      </c>
      <c r="W32" t="s">
        <v>31</v>
      </c>
      <c r="X32" t="s">
        <v>521</v>
      </c>
      <c r="Y32" t="s">
        <v>8</v>
      </c>
      <c r="Z32" s="5" t="s">
        <v>905</v>
      </c>
      <c r="AA32" s="5" t="s">
        <v>1043</v>
      </c>
      <c r="AB32" t="s">
        <v>9</v>
      </c>
      <c r="AC32" s="2">
        <v>45568.331250000003</v>
      </c>
      <c r="AD32" s="2">
        <v>45568.331250000003</v>
      </c>
    </row>
    <row r="33" spans="1:30" x14ac:dyDescent="0.25">
      <c r="A33" t="s">
        <v>519</v>
      </c>
      <c r="B33" t="s">
        <v>1389</v>
      </c>
      <c r="C33" t="s">
        <v>522</v>
      </c>
      <c r="D33" t="s">
        <v>523</v>
      </c>
      <c r="E33" t="s">
        <v>10</v>
      </c>
      <c r="F33" t="s">
        <v>1184</v>
      </c>
      <c r="I33" s="5" t="s">
        <v>635</v>
      </c>
      <c r="J33" s="1">
        <v>42403</v>
      </c>
      <c r="K33" s="8">
        <v>62504648324</v>
      </c>
      <c r="O33" t="s">
        <v>2</v>
      </c>
      <c r="S33" t="s">
        <v>4</v>
      </c>
      <c r="T33" t="s">
        <v>94</v>
      </c>
      <c r="U33" t="s">
        <v>30</v>
      </c>
      <c r="V33">
        <v>94</v>
      </c>
      <c r="W33" t="s">
        <v>7</v>
      </c>
      <c r="X33" t="s">
        <v>521</v>
      </c>
      <c r="Y33" t="s">
        <v>8</v>
      </c>
      <c r="Z33" s="5" t="s">
        <v>906</v>
      </c>
      <c r="AA33" s="5" t="s">
        <v>1044</v>
      </c>
      <c r="AB33" t="s">
        <v>9</v>
      </c>
      <c r="AC33" s="2">
        <v>45568.332638888889</v>
      </c>
      <c r="AD33" s="2">
        <v>45568.332638888889</v>
      </c>
    </row>
    <row r="34" spans="1:30" x14ac:dyDescent="0.25">
      <c r="A34" t="s">
        <v>519</v>
      </c>
      <c r="B34" t="s">
        <v>1389</v>
      </c>
      <c r="C34" t="s">
        <v>522</v>
      </c>
      <c r="D34" t="s">
        <v>523</v>
      </c>
      <c r="E34" t="s">
        <v>46</v>
      </c>
      <c r="F34" t="s">
        <v>1184</v>
      </c>
      <c r="I34" s="5" t="s">
        <v>636</v>
      </c>
      <c r="J34" s="1">
        <v>41652</v>
      </c>
      <c r="K34" s="8">
        <v>61777029376</v>
      </c>
      <c r="O34" t="s">
        <v>2</v>
      </c>
      <c r="S34" t="s">
        <v>4</v>
      </c>
      <c r="T34" t="s">
        <v>95</v>
      </c>
      <c r="U34" t="s">
        <v>96</v>
      </c>
      <c r="V34">
        <v>44</v>
      </c>
      <c r="W34" t="s">
        <v>97</v>
      </c>
      <c r="X34" t="s">
        <v>521</v>
      </c>
      <c r="Y34" t="s">
        <v>8</v>
      </c>
      <c r="Z34" s="5" t="s">
        <v>907</v>
      </c>
      <c r="AA34" s="5" t="s">
        <v>1045</v>
      </c>
      <c r="AB34" t="s">
        <v>9</v>
      </c>
      <c r="AC34" s="2">
        <v>45568.451388888891</v>
      </c>
      <c r="AD34" s="2">
        <v>45568.451388888891</v>
      </c>
    </row>
    <row r="35" spans="1:30" x14ac:dyDescent="0.25">
      <c r="A35" t="s">
        <v>519</v>
      </c>
      <c r="B35" t="s">
        <v>1388</v>
      </c>
      <c r="C35" t="s">
        <v>520</v>
      </c>
      <c r="D35" t="s">
        <v>523</v>
      </c>
      <c r="E35" t="s">
        <v>16</v>
      </c>
      <c r="F35" t="s">
        <v>1184</v>
      </c>
      <c r="I35" s="5" t="s">
        <v>637</v>
      </c>
      <c r="J35" s="1">
        <v>40280</v>
      </c>
      <c r="K35" s="8">
        <v>7370325377</v>
      </c>
      <c r="L35" s="7">
        <v>587313230168</v>
      </c>
      <c r="M35" t="s">
        <v>1</v>
      </c>
      <c r="N35" s="1">
        <v>42489</v>
      </c>
      <c r="O35" t="s">
        <v>2</v>
      </c>
      <c r="S35" t="s">
        <v>4</v>
      </c>
      <c r="T35" t="s">
        <v>98</v>
      </c>
      <c r="U35" t="s">
        <v>30</v>
      </c>
      <c r="V35">
        <v>4</v>
      </c>
      <c r="W35" t="s">
        <v>99</v>
      </c>
      <c r="X35" t="s">
        <v>521</v>
      </c>
      <c r="Y35" t="s">
        <v>8</v>
      </c>
      <c r="Z35" s="5" t="s">
        <v>908</v>
      </c>
      <c r="AA35" s="5" t="s">
        <v>1046</v>
      </c>
      <c r="AB35" t="s">
        <v>9</v>
      </c>
      <c r="AC35" s="2">
        <v>45581.618055555555</v>
      </c>
      <c r="AD35" s="2">
        <v>45583.320833333331</v>
      </c>
    </row>
    <row r="36" spans="1:30" x14ac:dyDescent="0.25">
      <c r="A36" t="s">
        <v>519</v>
      </c>
      <c r="B36" t="s">
        <v>1388</v>
      </c>
      <c r="C36" t="s">
        <v>520</v>
      </c>
      <c r="D36" t="s">
        <v>523</v>
      </c>
      <c r="E36" t="s">
        <v>1391</v>
      </c>
      <c r="F36" t="s">
        <v>106</v>
      </c>
      <c r="I36" s="5" t="s">
        <v>638</v>
      </c>
      <c r="J36" s="1">
        <v>40304</v>
      </c>
      <c r="K36" s="8">
        <v>60872385302</v>
      </c>
      <c r="L36" s="7">
        <v>426959420116</v>
      </c>
      <c r="M36" t="s">
        <v>1</v>
      </c>
      <c r="N36" s="1">
        <v>42706</v>
      </c>
      <c r="O36" t="s">
        <v>2</v>
      </c>
      <c r="Q36" t="s">
        <v>100</v>
      </c>
      <c r="S36" t="s">
        <v>4</v>
      </c>
      <c r="T36" t="s">
        <v>101</v>
      </c>
      <c r="U36" t="s">
        <v>30</v>
      </c>
      <c r="V36">
        <v>55</v>
      </c>
      <c r="W36" t="s">
        <v>526</v>
      </c>
      <c r="X36" t="s">
        <v>521</v>
      </c>
      <c r="Y36" t="s">
        <v>8</v>
      </c>
      <c r="Z36" s="5" t="s">
        <v>909</v>
      </c>
      <c r="AA36" s="5" t="s">
        <v>1047</v>
      </c>
      <c r="AB36" t="s">
        <v>9</v>
      </c>
      <c r="AC36" s="2">
        <v>45574.564583333333</v>
      </c>
      <c r="AD36" s="2">
        <v>45583.323611111111</v>
      </c>
    </row>
    <row r="37" spans="1:30" x14ac:dyDescent="0.25">
      <c r="A37" t="s">
        <v>519</v>
      </c>
      <c r="B37" t="s">
        <v>1389</v>
      </c>
      <c r="C37" t="s">
        <v>522</v>
      </c>
      <c r="D37" t="s">
        <v>523</v>
      </c>
      <c r="E37" t="s">
        <v>102</v>
      </c>
      <c r="F37" t="s">
        <v>1184</v>
      </c>
      <c r="I37" s="5" t="s">
        <v>639</v>
      </c>
      <c r="J37" s="1">
        <v>42974</v>
      </c>
      <c r="K37" s="8">
        <v>62862119342</v>
      </c>
      <c r="O37" t="s">
        <v>11</v>
      </c>
      <c r="P37" t="s">
        <v>103</v>
      </c>
      <c r="S37" t="s">
        <v>20</v>
      </c>
      <c r="T37" t="s">
        <v>21</v>
      </c>
      <c r="U37" t="s">
        <v>6</v>
      </c>
      <c r="V37">
        <v>81</v>
      </c>
      <c r="W37" t="s">
        <v>22</v>
      </c>
      <c r="X37" t="s">
        <v>1387</v>
      </c>
      <c r="Y37" t="s">
        <v>8</v>
      </c>
      <c r="Z37" s="5" t="s">
        <v>1204</v>
      </c>
      <c r="AA37" s="5" t="s">
        <v>1205</v>
      </c>
      <c r="AB37" t="s">
        <v>9</v>
      </c>
      <c r="AC37" s="2">
        <v>45567.324305555558</v>
      </c>
      <c r="AD37" s="2">
        <v>45567.334722222222</v>
      </c>
    </row>
    <row r="38" spans="1:30" x14ac:dyDescent="0.25">
      <c r="A38" t="s">
        <v>519</v>
      </c>
      <c r="B38" t="s">
        <v>1389</v>
      </c>
      <c r="C38" t="s">
        <v>522</v>
      </c>
      <c r="D38" t="s">
        <v>523</v>
      </c>
      <c r="E38" t="s">
        <v>46</v>
      </c>
      <c r="F38" t="s">
        <v>1184</v>
      </c>
      <c r="I38" s="5" t="s">
        <v>809</v>
      </c>
      <c r="J38" s="1">
        <v>41862</v>
      </c>
      <c r="K38" s="8">
        <v>62065570300</v>
      </c>
      <c r="O38" t="s">
        <v>11</v>
      </c>
      <c r="S38" t="s">
        <v>4</v>
      </c>
      <c r="T38" t="s">
        <v>104</v>
      </c>
      <c r="U38" t="s">
        <v>93</v>
      </c>
      <c r="V38">
        <v>1</v>
      </c>
      <c r="W38" t="s">
        <v>31</v>
      </c>
      <c r="X38" t="s">
        <v>521</v>
      </c>
      <c r="Y38" t="s">
        <v>8</v>
      </c>
      <c r="Z38" s="5" t="s">
        <v>1206</v>
      </c>
      <c r="AA38" s="5" t="s">
        <v>1207</v>
      </c>
      <c r="AB38" t="s">
        <v>9</v>
      </c>
      <c r="AC38" s="2">
        <v>45568.45208333333</v>
      </c>
      <c r="AD38" s="2">
        <v>45568.45208333333</v>
      </c>
    </row>
    <row r="39" spans="1:30" x14ac:dyDescent="0.25">
      <c r="A39" t="s">
        <v>519</v>
      </c>
      <c r="B39" t="s">
        <v>1389</v>
      </c>
      <c r="C39" t="s">
        <v>522</v>
      </c>
      <c r="D39" t="s">
        <v>523</v>
      </c>
      <c r="E39" t="s">
        <v>46</v>
      </c>
      <c r="F39" t="s">
        <v>1184</v>
      </c>
      <c r="I39" s="5" t="s">
        <v>810</v>
      </c>
      <c r="J39" s="1">
        <v>42094</v>
      </c>
      <c r="K39" s="8">
        <v>62452617326</v>
      </c>
      <c r="O39" t="s">
        <v>11</v>
      </c>
      <c r="S39" t="s">
        <v>4</v>
      </c>
      <c r="T39" t="s">
        <v>105</v>
      </c>
      <c r="U39" t="s">
        <v>106</v>
      </c>
      <c r="V39">
        <v>527</v>
      </c>
      <c r="W39" t="s">
        <v>22</v>
      </c>
      <c r="X39" t="s">
        <v>521</v>
      </c>
      <c r="Y39" t="s">
        <v>8</v>
      </c>
      <c r="Z39" s="5" t="s">
        <v>1208</v>
      </c>
      <c r="AA39" s="5" t="s">
        <v>1048</v>
      </c>
      <c r="AB39" t="s">
        <v>9</v>
      </c>
      <c r="AC39" s="2">
        <v>45568.456944444442</v>
      </c>
      <c r="AD39" s="2">
        <v>45568.456944444442</v>
      </c>
    </row>
    <row r="40" spans="1:30" x14ac:dyDescent="0.25">
      <c r="A40" t="s">
        <v>519</v>
      </c>
      <c r="B40" t="s">
        <v>1389</v>
      </c>
      <c r="C40" t="s">
        <v>522</v>
      </c>
      <c r="D40" t="s">
        <v>523</v>
      </c>
      <c r="E40" t="s">
        <v>18</v>
      </c>
      <c r="F40" t="s">
        <v>1184</v>
      </c>
      <c r="I40" s="5" t="s">
        <v>640</v>
      </c>
      <c r="J40" s="1">
        <v>42475</v>
      </c>
      <c r="K40" s="8">
        <v>63173021380</v>
      </c>
      <c r="O40" t="s">
        <v>11</v>
      </c>
      <c r="Q40" t="s">
        <v>107</v>
      </c>
      <c r="S40" t="s">
        <v>4</v>
      </c>
      <c r="T40" t="s">
        <v>108</v>
      </c>
      <c r="U40" t="s">
        <v>109</v>
      </c>
      <c r="V40">
        <v>9</v>
      </c>
      <c r="W40" t="s">
        <v>31</v>
      </c>
      <c r="X40" t="s">
        <v>521</v>
      </c>
      <c r="Y40" t="s">
        <v>8</v>
      </c>
      <c r="Z40" s="5" t="s">
        <v>910</v>
      </c>
      <c r="AA40" s="5" t="s">
        <v>1049</v>
      </c>
      <c r="AB40" t="s">
        <v>9</v>
      </c>
      <c r="AC40" s="2">
        <v>45567.361805555556</v>
      </c>
      <c r="AD40" s="2">
        <v>45567.434027777781</v>
      </c>
    </row>
    <row r="41" spans="1:30" x14ac:dyDescent="0.25">
      <c r="A41" t="s">
        <v>519</v>
      </c>
      <c r="B41" t="s">
        <v>1388</v>
      </c>
      <c r="C41" t="s">
        <v>520</v>
      </c>
      <c r="D41" t="s">
        <v>523</v>
      </c>
      <c r="E41" t="s">
        <v>1391</v>
      </c>
      <c r="F41" t="s">
        <v>1390</v>
      </c>
      <c r="I41" s="5" t="s">
        <v>641</v>
      </c>
      <c r="J41" s="1">
        <v>39976</v>
      </c>
      <c r="K41" s="8">
        <v>61947381385</v>
      </c>
      <c r="L41" s="7">
        <v>535469720145</v>
      </c>
      <c r="M41" t="s">
        <v>1</v>
      </c>
      <c r="N41" s="1">
        <v>41863</v>
      </c>
      <c r="O41" t="s">
        <v>11</v>
      </c>
      <c r="Q41" t="s">
        <v>110</v>
      </c>
      <c r="S41" t="s">
        <v>4</v>
      </c>
      <c r="T41" t="s">
        <v>111</v>
      </c>
      <c r="U41" t="s">
        <v>30</v>
      </c>
      <c r="V41">
        <v>17</v>
      </c>
      <c r="W41" t="s">
        <v>56</v>
      </c>
      <c r="X41" t="s">
        <v>521</v>
      </c>
      <c r="Y41" t="s">
        <v>8</v>
      </c>
      <c r="Z41" s="5" t="s">
        <v>911</v>
      </c>
      <c r="AA41" s="5" t="s">
        <v>1209</v>
      </c>
      <c r="AB41" t="s">
        <v>9</v>
      </c>
      <c r="AC41" s="2">
        <v>45574.634722222225</v>
      </c>
      <c r="AD41" s="2">
        <v>45583.323611111111</v>
      </c>
    </row>
    <row r="42" spans="1:30" x14ac:dyDescent="0.25">
      <c r="A42" t="s">
        <v>519</v>
      </c>
      <c r="B42" t="s">
        <v>1388</v>
      </c>
      <c r="C42" t="s">
        <v>520</v>
      </c>
      <c r="D42" t="s">
        <v>523</v>
      </c>
      <c r="E42" t="s">
        <v>1391</v>
      </c>
      <c r="F42" t="s">
        <v>106</v>
      </c>
      <c r="I42" s="5" t="s">
        <v>642</v>
      </c>
      <c r="J42" s="1">
        <v>39645</v>
      </c>
      <c r="K42" s="8">
        <v>62055762362</v>
      </c>
      <c r="L42" s="7">
        <v>547742920140</v>
      </c>
      <c r="M42" t="s">
        <v>1</v>
      </c>
      <c r="N42" s="1">
        <v>41984</v>
      </c>
      <c r="O42" t="s">
        <v>11</v>
      </c>
      <c r="Q42" t="s">
        <v>112</v>
      </c>
      <c r="S42" t="s">
        <v>4</v>
      </c>
      <c r="T42" t="s">
        <v>113</v>
      </c>
      <c r="U42" t="s">
        <v>6</v>
      </c>
      <c r="V42">
        <v>25</v>
      </c>
      <c r="W42" t="s">
        <v>114</v>
      </c>
      <c r="X42" t="s">
        <v>521</v>
      </c>
      <c r="Y42" t="s">
        <v>8</v>
      </c>
      <c r="Z42" s="5" t="s">
        <v>912</v>
      </c>
      <c r="AA42" s="5" t="s">
        <v>1050</v>
      </c>
      <c r="AB42" t="s">
        <v>9</v>
      </c>
      <c r="AC42" s="2">
        <v>45573.63958333333</v>
      </c>
      <c r="AD42" s="2">
        <v>45573.63958333333</v>
      </c>
    </row>
    <row r="43" spans="1:30" x14ac:dyDescent="0.25">
      <c r="A43" t="s">
        <v>519</v>
      </c>
      <c r="B43" t="s">
        <v>1389</v>
      </c>
      <c r="C43" t="s">
        <v>522</v>
      </c>
      <c r="D43" t="s">
        <v>523</v>
      </c>
      <c r="E43" t="s">
        <v>46</v>
      </c>
      <c r="F43" t="s">
        <v>1184</v>
      </c>
      <c r="I43" s="5" t="s">
        <v>643</v>
      </c>
      <c r="J43" s="1">
        <v>42068</v>
      </c>
      <c r="K43" s="8">
        <v>62564753302</v>
      </c>
      <c r="O43" t="s">
        <v>11</v>
      </c>
      <c r="S43" t="s">
        <v>4</v>
      </c>
      <c r="T43" t="s">
        <v>115</v>
      </c>
      <c r="U43" t="s">
        <v>116</v>
      </c>
      <c r="V43">
        <v>8</v>
      </c>
      <c r="W43" t="s">
        <v>31</v>
      </c>
      <c r="X43" t="s">
        <v>521</v>
      </c>
      <c r="Y43" t="s">
        <v>8</v>
      </c>
      <c r="Z43" s="5" t="s">
        <v>1210</v>
      </c>
      <c r="AA43" s="5" t="s">
        <v>1051</v>
      </c>
      <c r="AB43" t="s">
        <v>9</v>
      </c>
      <c r="AC43" s="2">
        <v>45568.459027777775</v>
      </c>
      <c r="AD43" s="2">
        <v>45568.459027777775</v>
      </c>
    </row>
    <row r="44" spans="1:30" x14ac:dyDescent="0.25">
      <c r="A44" t="s">
        <v>519</v>
      </c>
      <c r="B44" t="s">
        <v>1389</v>
      </c>
      <c r="C44" t="s">
        <v>522</v>
      </c>
      <c r="D44" t="s">
        <v>523</v>
      </c>
      <c r="E44" t="s">
        <v>46</v>
      </c>
      <c r="F44" t="s">
        <v>1184</v>
      </c>
      <c r="I44" s="5" t="s">
        <v>644</v>
      </c>
      <c r="J44" s="1">
        <v>42010</v>
      </c>
      <c r="K44" s="8">
        <v>8488981333</v>
      </c>
      <c r="O44" t="s">
        <v>2</v>
      </c>
      <c r="S44" t="s">
        <v>4</v>
      </c>
      <c r="T44" t="s">
        <v>117</v>
      </c>
      <c r="U44" t="s">
        <v>78</v>
      </c>
      <c r="V44">
        <v>23</v>
      </c>
      <c r="W44" t="s">
        <v>15</v>
      </c>
      <c r="X44" t="s">
        <v>521</v>
      </c>
      <c r="Y44" t="s">
        <v>8</v>
      </c>
      <c r="Z44" s="5" t="s">
        <v>902</v>
      </c>
      <c r="AA44" s="5" t="s">
        <v>1037</v>
      </c>
      <c r="AB44" t="s">
        <v>9</v>
      </c>
      <c r="AC44" s="2">
        <v>45568.459722222222</v>
      </c>
      <c r="AD44" s="2">
        <v>45568.459722222222</v>
      </c>
    </row>
    <row r="45" spans="1:30" x14ac:dyDescent="0.25">
      <c r="A45" t="s">
        <v>519</v>
      </c>
      <c r="B45" t="s">
        <v>1388</v>
      </c>
      <c r="C45" t="s">
        <v>520</v>
      </c>
      <c r="D45" t="s">
        <v>523</v>
      </c>
      <c r="E45" t="s">
        <v>1391</v>
      </c>
      <c r="F45" t="s">
        <v>1390</v>
      </c>
      <c r="I45" s="5" t="s">
        <v>811</v>
      </c>
      <c r="J45" s="1">
        <v>40016</v>
      </c>
      <c r="K45" s="8">
        <v>62030104302</v>
      </c>
      <c r="L45" s="7">
        <v>545153520146</v>
      </c>
      <c r="M45" t="s">
        <v>1</v>
      </c>
      <c r="N45" s="1">
        <v>41950</v>
      </c>
      <c r="O45" t="s">
        <v>2</v>
      </c>
      <c r="Q45" t="s">
        <v>118</v>
      </c>
      <c r="S45" t="s">
        <v>4</v>
      </c>
      <c r="T45" t="s">
        <v>119</v>
      </c>
      <c r="U45" t="s">
        <v>30</v>
      </c>
      <c r="V45">
        <v>13</v>
      </c>
      <c r="W45" t="s">
        <v>53</v>
      </c>
      <c r="X45" t="s">
        <v>521</v>
      </c>
      <c r="Y45" t="s">
        <v>8</v>
      </c>
      <c r="Z45" s="5" t="s">
        <v>913</v>
      </c>
      <c r="AA45" s="5" t="s">
        <v>1211</v>
      </c>
      <c r="AB45" t="s">
        <v>9</v>
      </c>
      <c r="AC45" s="2">
        <v>45574.636111111111</v>
      </c>
      <c r="AD45" s="2">
        <v>45574.636111111111</v>
      </c>
    </row>
    <row r="46" spans="1:30" x14ac:dyDescent="0.25">
      <c r="A46" t="s">
        <v>519</v>
      </c>
      <c r="B46" t="s">
        <v>1388</v>
      </c>
      <c r="C46" t="s">
        <v>520</v>
      </c>
      <c r="D46" t="s">
        <v>523</v>
      </c>
      <c r="E46" t="s">
        <v>0</v>
      </c>
      <c r="F46" t="s">
        <v>1184</v>
      </c>
      <c r="I46" s="5" t="s">
        <v>645</v>
      </c>
      <c r="J46" s="1">
        <v>41335</v>
      </c>
      <c r="K46" s="8">
        <v>63007603323</v>
      </c>
      <c r="L46" s="7">
        <v>655211720180</v>
      </c>
      <c r="M46" t="s">
        <v>1</v>
      </c>
      <c r="N46" s="1">
        <v>43183</v>
      </c>
      <c r="O46" t="s">
        <v>2</v>
      </c>
      <c r="Q46" t="s">
        <v>120</v>
      </c>
      <c r="S46" t="s">
        <v>4</v>
      </c>
      <c r="T46" t="s">
        <v>527</v>
      </c>
      <c r="U46" t="s">
        <v>30</v>
      </c>
      <c r="V46">
        <v>24</v>
      </c>
      <c r="W46" t="s">
        <v>121</v>
      </c>
      <c r="X46" t="s">
        <v>521</v>
      </c>
      <c r="Y46" t="s">
        <v>8</v>
      </c>
      <c r="Z46" s="5" t="s">
        <v>914</v>
      </c>
      <c r="AA46" s="5" t="s">
        <v>1052</v>
      </c>
      <c r="AB46" t="s">
        <v>9</v>
      </c>
      <c r="AC46" s="2">
        <v>45566.67291666667</v>
      </c>
      <c r="AD46" s="2">
        <v>45566.67291666667</v>
      </c>
    </row>
    <row r="47" spans="1:30" x14ac:dyDescent="0.25">
      <c r="A47" t="s">
        <v>519</v>
      </c>
      <c r="B47" t="s">
        <v>1388</v>
      </c>
      <c r="C47" t="s">
        <v>520</v>
      </c>
      <c r="D47" t="s">
        <v>523</v>
      </c>
      <c r="E47" t="s">
        <v>1391</v>
      </c>
      <c r="F47" t="s">
        <v>1390</v>
      </c>
      <c r="I47" s="5" t="s">
        <v>812</v>
      </c>
      <c r="J47" s="1">
        <v>39531</v>
      </c>
      <c r="K47" s="8">
        <v>4217324235</v>
      </c>
      <c r="L47" s="7">
        <v>7956843</v>
      </c>
      <c r="M47" t="s">
        <v>1</v>
      </c>
      <c r="N47" s="1">
        <v>41830</v>
      </c>
      <c r="O47" t="s">
        <v>2</v>
      </c>
      <c r="Q47" t="s">
        <v>122</v>
      </c>
      <c r="S47" t="s">
        <v>4</v>
      </c>
      <c r="T47" t="s">
        <v>123</v>
      </c>
      <c r="U47" t="s">
        <v>30</v>
      </c>
      <c r="V47">
        <v>9</v>
      </c>
      <c r="W47" t="s">
        <v>114</v>
      </c>
      <c r="X47" t="s">
        <v>521</v>
      </c>
      <c r="Y47" t="s">
        <v>8</v>
      </c>
      <c r="Z47" s="5" t="s">
        <v>1212</v>
      </c>
      <c r="AA47" s="5" t="s">
        <v>1213</v>
      </c>
      <c r="AB47" t="s">
        <v>9</v>
      </c>
      <c r="AC47" s="2">
        <v>45574.640277777777</v>
      </c>
      <c r="AD47" s="2">
        <v>45574.640277777777</v>
      </c>
    </row>
    <row r="48" spans="1:30" x14ac:dyDescent="0.25">
      <c r="A48" t="s">
        <v>519</v>
      </c>
      <c r="B48" t="s">
        <v>1389</v>
      </c>
      <c r="C48" t="s">
        <v>522</v>
      </c>
      <c r="D48" t="s">
        <v>523</v>
      </c>
      <c r="E48" t="s">
        <v>23</v>
      </c>
      <c r="F48" t="s">
        <v>1184</v>
      </c>
      <c r="I48" s="5" t="s">
        <v>646</v>
      </c>
      <c r="J48" s="1">
        <v>41365</v>
      </c>
      <c r="K48" s="8">
        <v>63344900366</v>
      </c>
      <c r="O48" t="s">
        <v>11</v>
      </c>
      <c r="S48" t="s">
        <v>4</v>
      </c>
      <c r="T48" t="s">
        <v>124</v>
      </c>
      <c r="U48" t="s">
        <v>73</v>
      </c>
      <c r="V48">
        <v>23</v>
      </c>
      <c r="W48" t="s">
        <v>31</v>
      </c>
      <c r="X48" t="s">
        <v>521</v>
      </c>
      <c r="Y48" t="s">
        <v>8</v>
      </c>
      <c r="Z48" s="5" t="s">
        <v>915</v>
      </c>
      <c r="AA48" t="s">
        <v>1184</v>
      </c>
      <c r="AB48" t="s">
        <v>9</v>
      </c>
      <c r="AC48" s="2">
        <v>45573.36041666667</v>
      </c>
      <c r="AD48" s="2">
        <v>45573.36041666667</v>
      </c>
    </row>
    <row r="49" spans="1:30" x14ac:dyDescent="0.25">
      <c r="A49" t="s">
        <v>519</v>
      </c>
      <c r="B49" t="s">
        <v>1388</v>
      </c>
      <c r="C49" t="s">
        <v>520</v>
      </c>
      <c r="D49" t="s">
        <v>523</v>
      </c>
      <c r="E49" t="s">
        <v>16</v>
      </c>
      <c r="F49" t="s">
        <v>1184</v>
      </c>
      <c r="I49" s="5" t="s">
        <v>647</v>
      </c>
      <c r="J49" s="1">
        <v>40152</v>
      </c>
      <c r="K49" s="8">
        <v>62464114367</v>
      </c>
      <c r="L49" s="7">
        <v>593966220165</v>
      </c>
      <c r="M49" t="s">
        <v>1</v>
      </c>
      <c r="N49" s="1">
        <v>42563</v>
      </c>
      <c r="O49" t="s">
        <v>2</v>
      </c>
      <c r="S49" t="s">
        <v>4</v>
      </c>
      <c r="T49" t="s">
        <v>125</v>
      </c>
      <c r="U49" t="s">
        <v>30</v>
      </c>
      <c r="V49">
        <v>6</v>
      </c>
      <c r="W49" t="s">
        <v>528</v>
      </c>
      <c r="X49" t="s">
        <v>521</v>
      </c>
      <c r="Y49" t="s">
        <v>8</v>
      </c>
      <c r="Z49" s="5" t="s">
        <v>916</v>
      </c>
      <c r="AA49" s="5" t="s">
        <v>1053</v>
      </c>
      <c r="AB49" t="s">
        <v>9</v>
      </c>
      <c r="AC49" s="2">
        <v>45581.631944444445</v>
      </c>
      <c r="AD49" s="2">
        <v>45583.321527777778</v>
      </c>
    </row>
    <row r="50" spans="1:30" x14ac:dyDescent="0.25">
      <c r="A50" t="s">
        <v>519</v>
      </c>
      <c r="B50" t="s">
        <v>1388</v>
      </c>
      <c r="C50" t="s">
        <v>520</v>
      </c>
      <c r="D50" t="s">
        <v>523</v>
      </c>
      <c r="E50" t="s">
        <v>1391</v>
      </c>
      <c r="F50" t="s">
        <v>106</v>
      </c>
      <c r="I50" s="5" t="s">
        <v>648</v>
      </c>
      <c r="J50" s="1">
        <v>40076</v>
      </c>
      <c r="K50" s="8">
        <v>61710269308</v>
      </c>
      <c r="L50" s="7">
        <v>511860120149</v>
      </c>
      <c r="M50" t="s">
        <v>1</v>
      </c>
      <c r="N50" s="1">
        <v>41659</v>
      </c>
      <c r="O50" t="s">
        <v>2</v>
      </c>
      <c r="Q50" t="s">
        <v>126</v>
      </c>
      <c r="S50" t="s">
        <v>4</v>
      </c>
      <c r="T50" t="s">
        <v>127</v>
      </c>
      <c r="U50" t="s">
        <v>6</v>
      </c>
      <c r="V50">
        <v>88</v>
      </c>
      <c r="W50" t="s">
        <v>40</v>
      </c>
      <c r="X50" t="s">
        <v>521</v>
      </c>
      <c r="Y50" t="s">
        <v>8</v>
      </c>
      <c r="Z50" s="5" t="s">
        <v>917</v>
      </c>
      <c r="AA50" s="5" t="s">
        <v>1054</v>
      </c>
      <c r="AB50" t="s">
        <v>9</v>
      </c>
      <c r="AC50" s="2">
        <v>45574.580555555556</v>
      </c>
      <c r="AD50" s="2">
        <v>45574.580555555556</v>
      </c>
    </row>
    <row r="51" spans="1:30" x14ac:dyDescent="0.25">
      <c r="A51" t="s">
        <v>519</v>
      </c>
      <c r="B51" t="s">
        <v>1388</v>
      </c>
      <c r="C51" t="s">
        <v>520</v>
      </c>
      <c r="D51" t="s">
        <v>523</v>
      </c>
      <c r="E51" t="s">
        <v>27</v>
      </c>
      <c r="F51" t="s">
        <v>1184</v>
      </c>
      <c r="I51" s="5" t="s">
        <v>649</v>
      </c>
      <c r="J51" s="1">
        <v>40728</v>
      </c>
      <c r="K51" s="8">
        <v>62949036376</v>
      </c>
      <c r="L51" s="7">
        <v>649300620184</v>
      </c>
      <c r="M51" t="s">
        <v>1</v>
      </c>
      <c r="N51" s="1">
        <v>43133</v>
      </c>
      <c r="O51" t="s">
        <v>2</v>
      </c>
      <c r="Q51" t="s">
        <v>128</v>
      </c>
      <c r="S51" t="s">
        <v>4</v>
      </c>
      <c r="T51" t="s">
        <v>129</v>
      </c>
      <c r="U51" t="s">
        <v>6</v>
      </c>
      <c r="V51">
        <v>8</v>
      </c>
      <c r="W51" t="s">
        <v>130</v>
      </c>
      <c r="X51" t="s">
        <v>521</v>
      </c>
      <c r="Y51" t="s">
        <v>8</v>
      </c>
      <c r="Z51" s="5" t="s">
        <v>918</v>
      </c>
      <c r="AA51" s="5" t="s">
        <v>1055</v>
      </c>
      <c r="AB51" t="s">
        <v>9</v>
      </c>
      <c r="AC51" s="2">
        <v>45567.704861111109</v>
      </c>
      <c r="AD51" s="2">
        <v>45567.704861111109</v>
      </c>
    </row>
    <row r="52" spans="1:30" x14ac:dyDescent="0.25">
      <c r="A52" t="s">
        <v>519</v>
      </c>
      <c r="B52" t="s">
        <v>1389</v>
      </c>
      <c r="C52" t="s">
        <v>522</v>
      </c>
      <c r="D52" t="s">
        <v>523</v>
      </c>
      <c r="E52" t="s">
        <v>10</v>
      </c>
      <c r="F52" t="s">
        <v>1184</v>
      </c>
      <c r="I52" s="5" t="s">
        <v>650</v>
      </c>
      <c r="J52" s="1">
        <v>42131</v>
      </c>
      <c r="K52" s="8">
        <v>63361067308</v>
      </c>
      <c r="O52" t="s">
        <v>2</v>
      </c>
      <c r="S52" t="s">
        <v>4</v>
      </c>
      <c r="T52" t="s">
        <v>131</v>
      </c>
      <c r="U52" t="s">
        <v>132</v>
      </c>
      <c r="V52">
        <v>18</v>
      </c>
      <c r="W52" t="s">
        <v>31</v>
      </c>
      <c r="X52" t="s">
        <v>521</v>
      </c>
      <c r="Y52" t="s">
        <v>8</v>
      </c>
      <c r="Z52" s="5" t="s">
        <v>919</v>
      </c>
      <c r="AA52" s="5" t="s">
        <v>1056</v>
      </c>
      <c r="AB52" t="s">
        <v>9</v>
      </c>
      <c r="AC52" s="2">
        <v>45568.341666666667</v>
      </c>
      <c r="AD52" s="2">
        <v>45568.341666666667</v>
      </c>
    </row>
    <row r="53" spans="1:30" x14ac:dyDescent="0.25">
      <c r="A53" t="s">
        <v>519</v>
      </c>
      <c r="B53" t="s">
        <v>1389</v>
      </c>
      <c r="C53" t="s">
        <v>522</v>
      </c>
      <c r="D53" t="s">
        <v>523</v>
      </c>
      <c r="E53" t="s">
        <v>46</v>
      </c>
      <c r="F53" t="s">
        <v>1184</v>
      </c>
      <c r="I53" s="5" t="s">
        <v>813</v>
      </c>
      <c r="J53" s="1">
        <v>41577</v>
      </c>
      <c r="K53" s="8">
        <v>62496664354</v>
      </c>
      <c r="O53" t="s">
        <v>2</v>
      </c>
      <c r="S53" t="s">
        <v>20</v>
      </c>
      <c r="T53" t="s">
        <v>133</v>
      </c>
      <c r="U53" t="s">
        <v>134</v>
      </c>
      <c r="V53">
        <v>70</v>
      </c>
      <c r="W53" t="s">
        <v>135</v>
      </c>
      <c r="X53" t="s">
        <v>1387</v>
      </c>
      <c r="Y53" t="s">
        <v>8</v>
      </c>
      <c r="Z53" s="5" t="s">
        <v>1214</v>
      </c>
      <c r="AA53" s="5" t="s">
        <v>1057</v>
      </c>
      <c r="AB53" t="s">
        <v>9</v>
      </c>
      <c r="AC53" s="2">
        <v>45568.461805555555</v>
      </c>
      <c r="AD53" s="2">
        <v>45568.461805555555</v>
      </c>
    </row>
    <row r="54" spans="1:30" x14ac:dyDescent="0.25">
      <c r="A54" t="s">
        <v>519</v>
      </c>
      <c r="B54" t="s">
        <v>1389</v>
      </c>
      <c r="C54" t="s">
        <v>522</v>
      </c>
      <c r="D54" t="s">
        <v>523</v>
      </c>
      <c r="E54" t="s">
        <v>10</v>
      </c>
      <c r="F54" t="s">
        <v>1184</v>
      </c>
      <c r="I54" s="5" t="s">
        <v>651</v>
      </c>
      <c r="J54" s="1">
        <v>42287</v>
      </c>
      <c r="K54" s="8">
        <v>62909555356</v>
      </c>
      <c r="O54" t="s">
        <v>2</v>
      </c>
      <c r="S54" t="s">
        <v>4</v>
      </c>
      <c r="T54" t="s">
        <v>136</v>
      </c>
      <c r="U54" t="s">
        <v>137</v>
      </c>
      <c r="V54">
        <v>26</v>
      </c>
      <c r="W54" t="s">
        <v>138</v>
      </c>
      <c r="X54" t="s">
        <v>521</v>
      </c>
      <c r="Y54" t="s">
        <v>8</v>
      </c>
      <c r="Z54" s="5" t="s">
        <v>920</v>
      </c>
      <c r="AA54" s="5" t="s">
        <v>1058</v>
      </c>
      <c r="AB54" t="s">
        <v>9</v>
      </c>
      <c r="AC54" s="2">
        <v>45568.334027777775</v>
      </c>
      <c r="AD54" s="2">
        <v>45568.334027777775</v>
      </c>
    </row>
    <row r="55" spans="1:30" x14ac:dyDescent="0.25">
      <c r="A55" t="s">
        <v>519</v>
      </c>
      <c r="B55" t="s">
        <v>1388</v>
      </c>
      <c r="C55" t="s">
        <v>520</v>
      </c>
      <c r="D55" t="s">
        <v>523</v>
      </c>
      <c r="E55" t="s">
        <v>16</v>
      </c>
      <c r="F55" t="s">
        <v>1184</v>
      </c>
      <c r="I55" s="5" t="s">
        <v>652</v>
      </c>
      <c r="J55" s="1">
        <v>40579</v>
      </c>
      <c r="K55" s="8">
        <v>62332743383</v>
      </c>
      <c r="L55" s="7">
        <v>577357320155</v>
      </c>
      <c r="M55" t="s">
        <v>1</v>
      </c>
      <c r="N55" s="1">
        <v>42355</v>
      </c>
      <c r="O55" t="s">
        <v>2</v>
      </c>
      <c r="S55" t="s">
        <v>4</v>
      </c>
      <c r="T55" t="s">
        <v>139</v>
      </c>
      <c r="U55" t="s">
        <v>140</v>
      </c>
      <c r="V55">
        <v>7118</v>
      </c>
      <c r="W55" t="s">
        <v>529</v>
      </c>
      <c r="X55" t="s">
        <v>521</v>
      </c>
      <c r="Y55" t="s">
        <v>8</v>
      </c>
      <c r="Z55" s="5" t="s">
        <v>921</v>
      </c>
      <c r="AA55" s="5" t="s">
        <v>1059</v>
      </c>
      <c r="AB55" t="s">
        <v>9</v>
      </c>
      <c r="AC55" s="2">
        <v>45581.60833333333</v>
      </c>
      <c r="AD55" s="2">
        <v>45583.321527777778</v>
      </c>
    </row>
    <row r="56" spans="1:30" x14ac:dyDescent="0.25">
      <c r="A56" t="s">
        <v>519</v>
      </c>
      <c r="B56" t="s">
        <v>1389</v>
      </c>
      <c r="C56" t="s">
        <v>522</v>
      </c>
      <c r="D56" t="s">
        <v>523</v>
      </c>
      <c r="E56" t="s">
        <v>10</v>
      </c>
      <c r="F56" t="s">
        <v>1184</v>
      </c>
      <c r="I56" s="5" t="s">
        <v>653</v>
      </c>
      <c r="J56" s="1">
        <v>42243</v>
      </c>
      <c r="K56" s="8">
        <v>62856914365</v>
      </c>
      <c r="O56" t="s">
        <v>2</v>
      </c>
      <c r="S56" t="s">
        <v>4</v>
      </c>
      <c r="T56" t="s">
        <v>141</v>
      </c>
      <c r="U56" t="s">
        <v>142</v>
      </c>
      <c r="V56">
        <v>19</v>
      </c>
      <c r="W56" t="s">
        <v>37</v>
      </c>
      <c r="X56" t="s">
        <v>521</v>
      </c>
      <c r="Y56" t="s">
        <v>8</v>
      </c>
      <c r="Z56" s="5" t="s">
        <v>1215</v>
      </c>
      <c r="AA56" s="5" t="s">
        <v>1216</v>
      </c>
      <c r="AB56" t="s">
        <v>9</v>
      </c>
      <c r="AC56" s="2">
        <v>45568.34097222222</v>
      </c>
      <c r="AD56" s="2">
        <v>45568.34097222222</v>
      </c>
    </row>
    <row r="57" spans="1:30" x14ac:dyDescent="0.25">
      <c r="A57" t="s">
        <v>519</v>
      </c>
      <c r="B57" t="s">
        <v>1388</v>
      </c>
      <c r="C57" t="s">
        <v>520</v>
      </c>
      <c r="D57" t="s">
        <v>523</v>
      </c>
      <c r="E57" t="s">
        <v>0</v>
      </c>
      <c r="F57" t="s">
        <v>1184</v>
      </c>
      <c r="I57" s="5" t="s">
        <v>654</v>
      </c>
      <c r="J57" s="1">
        <v>41081</v>
      </c>
      <c r="K57" s="8">
        <v>62329320302</v>
      </c>
      <c r="L57" s="7">
        <v>576867520155</v>
      </c>
      <c r="M57" t="s">
        <v>1</v>
      </c>
      <c r="N57" s="1">
        <v>42352</v>
      </c>
      <c r="O57" t="s">
        <v>2</v>
      </c>
      <c r="Q57" t="s">
        <v>143</v>
      </c>
      <c r="S57" t="s">
        <v>4</v>
      </c>
      <c r="T57" t="s">
        <v>144</v>
      </c>
      <c r="U57" t="s">
        <v>30</v>
      </c>
      <c r="V57">
        <v>15</v>
      </c>
      <c r="W57" t="s">
        <v>15</v>
      </c>
      <c r="X57" t="s">
        <v>521</v>
      </c>
      <c r="Y57" t="s">
        <v>8</v>
      </c>
      <c r="Z57" s="5" t="s">
        <v>922</v>
      </c>
      <c r="AA57" s="5" t="s">
        <v>1217</v>
      </c>
      <c r="AB57" t="s">
        <v>9</v>
      </c>
      <c r="AC57" s="2">
        <v>45566.686111111114</v>
      </c>
      <c r="AD57" s="2">
        <v>45566.686111111114</v>
      </c>
    </row>
    <row r="58" spans="1:30" x14ac:dyDescent="0.25">
      <c r="A58" t="s">
        <v>519</v>
      </c>
      <c r="B58" t="s">
        <v>1388</v>
      </c>
      <c r="C58" t="s">
        <v>520</v>
      </c>
      <c r="D58" t="s">
        <v>523</v>
      </c>
      <c r="E58" t="s">
        <v>1391</v>
      </c>
      <c r="F58" t="s">
        <v>1390</v>
      </c>
      <c r="I58" s="5" t="s">
        <v>655</v>
      </c>
      <c r="J58" s="1">
        <v>40165</v>
      </c>
      <c r="K58" s="8">
        <v>62034317378</v>
      </c>
      <c r="L58" s="7">
        <v>545604720144</v>
      </c>
      <c r="M58" t="s">
        <v>1</v>
      </c>
      <c r="N58" s="1">
        <v>41955</v>
      </c>
      <c r="O58" t="s">
        <v>11</v>
      </c>
      <c r="Q58" t="s">
        <v>145</v>
      </c>
      <c r="S58" t="s">
        <v>4</v>
      </c>
      <c r="T58" t="s">
        <v>146</v>
      </c>
      <c r="U58" t="s">
        <v>6</v>
      </c>
      <c r="V58">
        <v>1</v>
      </c>
      <c r="W58" t="s">
        <v>147</v>
      </c>
      <c r="X58" t="s">
        <v>521</v>
      </c>
      <c r="Y58" t="s">
        <v>8</v>
      </c>
      <c r="Z58" s="5" t="s">
        <v>923</v>
      </c>
      <c r="AA58" s="5" t="s">
        <v>1060</v>
      </c>
      <c r="AB58" t="s">
        <v>9</v>
      </c>
      <c r="AC58" s="2">
        <v>45574.647222222222</v>
      </c>
      <c r="AD58" s="2">
        <v>45574.647222222222</v>
      </c>
    </row>
    <row r="59" spans="1:30" x14ac:dyDescent="0.25">
      <c r="A59" t="s">
        <v>519</v>
      </c>
      <c r="B59" t="s">
        <v>1389</v>
      </c>
      <c r="C59" t="s">
        <v>522</v>
      </c>
      <c r="D59" t="s">
        <v>523</v>
      </c>
      <c r="E59" t="s">
        <v>18</v>
      </c>
      <c r="F59" t="s">
        <v>1184</v>
      </c>
      <c r="I59" s="5" t="s">
        <v>656</v>
      </c>
      <c r="J59" s="1">
        <v>42791</v>
      </c>
      <c r="K59" s="8">
        <v>62659386307</v>
      </c>
      <c r="O59" t="s">
        <v>2</v>
      </c>
      <c r="Q59" t="s">
        <v>148</v>
      </c>
      <c r="S59" t="s">
        <v>4</v>
      </c>
      <c r="T59" t="s">
        <v>149</v>
      </c>
      <c r="U59" t="s">
        <v>150</v>
      </c>
      <c r="V59">
        <v>4</v>
      </c>
      <c r="W59" t="s">
        <v>31</v>
      </c>
      <c r="X59" t="s">
        <v>521</v>
      </c>
      <c r="Y59" t="s">
        <v>8</v>
      </c>
      <c r="Z59" s="5" t="s">
        <v>924</v>
      </c>
      <c r="AA59" s="5" t="s">
        <v>1218</v>
      </c>
      <c r="AB59" t="s">
        <v>9</v>
      </c>
      <c r="AC59" s="2">
        <v>45567.365277777775</v>
      </c>
      <c r="AD59" s="2">
        <v>45567.434027777781</v>
      </c>
    </row>
    <row r="60" spans="1:30" x14ac:dyDescent="0.25">
      <c r="A60" t="s">
        <v>519</v>
      </c>
      <c r="B60" t="s">
        <v>1389</v>
      </c>
      <c r="C60" t="s">
        <v>522</v>
      </c>
      <c r="D60" t="s">
        <v>523</v>
      </c>
      <c r="E60" t="s">
        <v>18</v>
      </c>
      <c r="F60" t="s">
        <v>1184</v>
      </c>
      <c r="I60" s="5" t="s">
        <v>814</v>
      </c>
      <c r="J60" s="1">
        <v>42590</v>
      </c>
      <c r="K60" s="8">
        <v>63508332365</v>
      </c>
      <c r="O60" t="s">
        <v>2</v>
      </c>
      <c r="Q60" t="s">
        <v>151</v>
      </c>
      <c r="S60" t="s">
        <v>4</v>
      </c>
      <c r="T60" t="s">
        <v>152</v>
      </c>
      <c r="U60" t="s">
        <v>153</v>
      </c>
      <c r="V60">
        <v>2</v>
      </c>
      <c r="W60" t="s">
        <v>37</v>
      </c>
      <c r="X60" t="s">
        <v>521</v>
      </c>
      <c r="Y60" t="s">
        <v>8</v>
      </c>
      <c r="Z60" s="5" t="s">
        <v>1219</v>
      </c>
      <c r="AA60" s="5" t="s">
        <v>1061</v>
      </c>
      <c r="AB60" t="s">
        <v>9</v>
      </c>
      <c r="AC60" s="2">
        <v>45567.367361111108</v>
      </c>
      <c r="AD60" s="2">
        <v>45567.434027777781</v>
      </c>
    </row>
    <row r="61" spans="1:30" x14ac:dyDescent="0.25">
      <c r="A61" t="s">
        <v>519</v>
      </c>
      <c r="B61" t="s">
        <v>1388</v>
      </c>
      <c r="C61" t="s">
        <v>520</v>
      </c>
      <c r="D61" t="s">
        <v>523</v>
      </c>
      <c r="E61" t="s">
        <v>16</v>
      </c>
      <c r="F61" t="s">
        <v>1184</v>
      </c>
      <c r="I61" s="5" t="s">
        <v>657</v>
      </c>
      <c r="J61" s="1">
        <v>39549</v>
      </c>
      <c r="K61" s="8">
        <v>62329336306</v>
      </c>
      <c r="O61" t="s">
        <v>2</v>
      </c>
      <c r="S61" t="s">
        <v>4</v>
      </c>
      <c r="T61" t="s">
        <v>530</v>
      </c>
      <c r="U61" t="s">
        <v>30</v>
      </c>
      <c r="V61">
        <v>1</v>
      </c>
      <c r="W61" t="s">
        <v>154</v>
      </c>
      <c r="X61" t="s">
        <v>521</v>
      </c>
      <c r="Y61" t="s">
        <v>8</v>
      </c>
      <c r="Z61" s="5" t="s">
        <v>925</v>
      </c>
      <c r="AA61" s="5" t="s">
        <v>1062</v>
      </c>
      <c r="AB61" t="s">
        <v>9</v>
      </c>
      <c r="AC61" s="2">
        <v>45581.604166666664</v>
      </c>
      <c r="AD61" s="2">
        <v>45583.321527777778</v>
      </c>
    </row>
    <row r="62" spans="1:30" x14ac:dyDescent="0.25">
      <c r="A62" t="s">
        <v>519</v>
      </c>
      <c r="B62" t="s">
        <v>1388</v>
      </c>
      <c r="C62" t="s">
        <v>520</v>
      </c>
      <c r="D62" t="s">
        <v>523</v>
      </c>
      <c r="E62" t="s">
        <v>1391</v>
      </c>
      <c r="F62" t="s">
        <v>106</v>
      </c>
      <c r="I62" s="5" t="s">
        <v>658</v>
      </c>
      <c r="J62" s="1">
        <v>40114</v>
      </c>
      <c r="K62" s="8">
        <v>62783847361</v>
      </c>
      <c r="L62" s="7">
        <v>631841820171</v>
      </c>
      <c r="M62" t="s">
        <v>1</v>
      </c>
      <c r="N62" s="1">
        <v>42977</v>
      </c>
      <c r="O62" t="s">
        <v>2</v>
      </c>
      <c r="Q62" t="s">
        <v>155</v>
      </c>
      <c r="S62" t="s">
        <v>156</v>
      </c>
      <c r="T62" t="s">
        <v>531</v>
      </c>
      <c r="U62" t="s">
        <v>30</v>
      </c>
      <c r="V62">
        <v>14</v>
      </c>
      <c r="W62" t="s">
        <v>157</v>
      </c>
      <c r="X62" t="s">
        <v>532</v>
      </c>
      <c r="Y62" t="s">
        <v>8</v>
      </c>
      <c r="Z62" s="5" t="s">
        <v>1220</v>
      </c>
      <c r="AA62" s="5" t="s">
        <v>1063</v>
      </c>
      <c r="AB62" t="s">
        <v>9</v>
      </c>
      <c r="AC62" s="2">
        <v>45573.697916666664</v>
      </c>
      <c r="AD62" s="2">
        <v>45573.697916666664</v>
      </c>
    </row>
    <row r="63" spans="1:30" x14ac:dyDescent="0.25">
      <c r="A63" t="s">
        <v>519</v>
      </c>
      <c r="B63" t="s">
        <v>1389</v>
      </c>
      <c r="C63" t="s">
        <v>522</v>
      </c>
      <c r="D63" t="s">
        <v>523</v>
      </c>
      <c r="E63" t="s">
        <v>46</v>
      </c>
      <c r="F63" t="s">
        <v>1184</v>
      </c>
      <c r="I63" s="5" t="s">
        <v>659</v>
      </c>
      <c r="J63" s="1">
        <v>41904</v>
      </c>
      <c r="K63" s="8">
        <v>62164182383</v>
      </c>
      <c r="O63" t="s">
        <v>2</v>
      </c>
      <c r="S63" t="s">
        <v>4</v>
      </c>
      <c r="T63" t="s">
        <v>89</v>
      </c>
      <c r="U63" t="s">
        <v>90</v>
      </c>
      <c r="V63">
        <v>15</v>
      </c>
      <c r="W63" t="s">
        <v>37</v>
      </c>
      <c r="X63" t="s">
        <v>521</v>
      </c>
      <c r="Y63" t="s">
        <v>8</v>
      </c>
      <c r="Z63" s="5" t="s">
        <v>1203</v>
      </c>
      <c r="AA63" s="5" t="s">
        <v>1041</v>
      </c>
      <c r="AB63" t="s">
        <v>9</v>
      </c>
      <c r="AC63" s="2">
        <v>45568.463194444441</v>
      </c>
      <c r="AD63" s="2">
        <v>45568.463194444441</v>
      </c>
    </row>
    <row r="64" spans="1:30" x14ac:dyDescent="0.25">
      <c r="A64" t="s">
        <v>519</v>
      </c>
      <c r="B64" t="s">
        <v>1389</v>
      </c>
      <c r="C64" t="s">
        <v>522</v>
      </c>
      <c r="D64" t="s">
        <v>523</v>
      </c>
      <c r="E64" t="s">
        <v>46</v>
      </c>
      <c r="F64" t="s">
        <v>1184</v>
      </c>
      <c r="I64" s="5" t="s">
        <v>815</v>
      </c>
      <c r="J64" s="1">
        <v>41772</v>
      </c>
      <c r="K64" s="8">
        <v>62746044307</v>
      </c>
      <c r="O64" t="s">
        <v>11</v>
      </c>
      <c r="S64" t="s">
        <v>4</v>
      </c>
      <c r="T64" t="s">
        <v>24</v>
      </c>
      <c r="U64" t="s">
        <v>30</v>
      </c>
      <c r="V64">
        <v>38</v>
      </c>
      <c r="W64" t="s">
        <v>527</v>
      </c>
      <c r="X64" t="s">
        <v>521</v>
      </c>
      <c r="Y64" t="s">
        <v>8</v>
      </c>
      <c r="Z64" s="5" t="s">
        <v>926</v>
      </c>
      <c r="AA64" s="5" t="s">
        <v>1221</v>
      </c>
      <c r="AB64" t="s">
        <v>9</v>
      </c>
      <c r="AC64" s="2">
        <v>45568.464583333334</v>
      </c>
      <c r="AD64" s="2">
        <v>45568.464583333334</v>
      </c>
    </row>
    <row r="65" spans="1:30" x14ac:dyDescent="0.25">
      <c r="A65" t="s">
        <v>519</v>
      </c>
      <c r="B65" t="s">
        <v>1388</v>
      </c>
      <c r="C65" t="s">
        <v>520</v>
      </c>
      <c r="D65" t="s">
        <v>523</v>
      </c>
      <c r="E65" t="s">
        <v>0</v>
      </c>
      <c r="F65" t="s">
        <v>1184</v>
      </c>
      <c r="I65" s="5" t="s">
        <v>816</v>
      </c>
      <c r="J65" s="1">
        <v>41322</v>
      </c>
      <c r="K65" s="8">
        <v>8262539389</v>
      </c>
      <c r="L65" s="7">
        <v>576722820158</v>
      </c>
      <c r="M65" t="s">
        <v>1</v>
      </c>
      <c r="N65" s="1">
        <v>42352</v>
      </c>
      <c r="O65" t="s">
        <v>2</v>
      </c>
      <c r="S65" t="s">
        <v>4</v>
      </c>
      <c r="T65" t="s">
        <v>158</v>
      </c>
      <c r="U65" t="s">
        <v>30</v>
      </c>
      <c r="W65" t="s">
        <v>31</v>
      </c>
      <c r="X65" t="s">
        <v>521</v>
      </c>
      <c r="Y65" t="s">
        <v>8</v>
      </c>
      <c r="Z65" s="5" t="s">
        <v>1222</v>
      </c>
      <c r="AA65" s="5" t="s">
        <v>1223</v>
      </c>
      <c r="AB65" t="s">
        <v>9</v>
      </c>
      <c r="AC65" s="2">
        <v>45566.689583333333</v>
      </c>
      <c r="AD65" s="2">
        <v>45566.689583333333</v>
      </c>
    </row>
    <row r="66" spans="1:30" x14ac:dyDescent="0.25">
      <c r="A66" t="s">
        <v>519</v>
      </c>
      <c r="B66" t="s">
        <v>1388</v>
      </c>
      <c r="C66" t="s">
        <v>520</v>
      </c>
      <c r="D66" t="s">
        <v>523</v>
      </c>
      <c r="E66" t="s">
        <v>16</v>
      </c>
      <c r="F66" t="s">
        <v>1184</v>
      </c>
      <c r="I66" s="5" t="s">
        <v>817</v>
      </c>
      <c r="J66" s="1">
        <v>40504</v>
      </c>
      <c r="K66" s="8">
        <v>63003299336</v>
      </c>
      <c r="L66" s="7">
        <v>420128330110</v>
      </c>
      <c r="M66" t="s">
        <v>1</v>
      </c>
      <c r="N66" s="1">
        <v>44343</v>
      </c>
      <c r="O66" t="s">
        <v>2</v>
      </c>
      <c r="S66" t="s">
        <v>4</v>
      </c>
      <c r="T66" t="s">
        <v>159</v>
      </c>
      <c r="U66" t="s">
        <v>30</v>
      </c>
      <c r="V66">
        <v>4</v>
      </c>
      <c r="W66" t="s">
        <v>533</v>
      </c>
      <c r="X66" t="s">
        <v>521</v>
      </c>
      <c r="Y66" t="s">
        <v>8</v>
      </c>
      <c r="Z66" s="5" t="s">
        <v>1224</v>
      </c>
      <c r="AA66" s="5" t="s">
        <v>1064</v>
      </c>
      <c r="AB66" t="s">
        <v>9</v>
      </c>
      <c r="AC66" s="2">
        <v>45581.621527777781</v>
      </c>
      <c r="AD66" s="2">
        <v>45583.321527777778</v>
      </c>
    </row>
    <row r="67" spans="1:30" x14ac:dyDescent="0.25">
      <c r="A67" t="s">
        <v>519</v>
      </c>
      <c r="B67" t="s">
        <v>1388</v>
      </c>
      <c r="C67" t="s">
        <v>520</v>
      </c>
      <c r="D67" t="s">
        <v>523</v>
      </c>
      <c r="E67" t="s">
        <v>16</v>
      </c>
      <c r="F67" t="s">
        <v>1184</v>
      </c>
      <c r="I67" s="5" t="s">
        <v>660</v>
      </c>
      <c r="J67" s="1">
        <v>40585</v>
      </c>
      <c r="K67" s="8">
        <v>62542031380</v>
      </c>
      <c r="L67" s="7">
        <v>604385620163</v>
      </c>
      <c r="M67" t="s">
        <v>1</v>
      </c>
      <c r="N67" s="1">
        <v>42690</v>
      </c>
      <c r="O67" t="s">
        <v>11</v>
      </c>
      <c r="S67" t="s">
        <v>4</v>
      </c>
      <c r="T67" t="s">
        <v>534</v>
      </c>
      <c r="U67" t="s">
        <v>30</v>
      </c>
      <c r="V67">
        <v>8</v>
      </c>
      <c r="W67" t="s">
        <v>535</v>
      </c>
      <c r="X67" t="s">
        <v>521</v>
      </c>
      <c r="Y67" t="s">
        <v>8</v>
      </c>
      <c r="Z67" s="5" t="s">
        <v>927</v>
      </c>
      <c r="AA67" s="5" t="s">
        <v>1225</v>
      </c>
      <c r="AB67" t="s">
        <v>9</v>
      </c>
      <c r="AC67" s="2">
        <v>45581.629166666666</v>
      </c>
      <c r="AD67" s="2">
        <v>45583.321527777778</v>
      </c>
    </row>
    <row r="68" spans="1:30" x14ac:dyDescent="0.25">
      <c r="A68" t="s">
        <v>519</v>
      </c>
      <c r="B68" t="s">
        <v>1388</v>
      </c>
      <c r="C68" t="s">
        <v>520</v>
      </c>
      <c r="D68" t="s">
        <v>523</v>
      </c>
      <c r="E68" t="s">
        <v>1391</v>
      </c>
      <c r="F68" t="s">
        <v>106</v>
      </c>
      <c r="I68" s="5" t="s">
        <v>661</v>
      </c>
      <c r="J68" s="1">
        <v>40123</v>
      </c>
      <c r="K68" s="8">
        <v>62571809377</v>
      </c>
      <c r="L68" s="7">
        <v>608204020162</v>
      </c>
      <c r="M68" t="s">
        <v>1</v>
      </c>
      <c r="N68" s="1">
        <v>43277</v>
      </c>
      <c r="O68" t="s">
        <v>11</v>
      </c>
      <c r="Q68" t="s">
        <v>160</v>
      </c>
      <c r="S68" t="s">
        <v>4</v>
      </c>
      <c r="T68" t="s">
        <v>161</v>
      </c>
      <c r="U68" t="s">
        <v>30</v>
      </c>
      <c r="V68">
        <v>38</v>
      </c>
      <c r="W68" t="s">
        <v>536</v>
      </c>
      <c r="X68" t="s">
        <v>521</v>
      </c>
      <c r="Y68" t="s">
        <v>8</v>
      </c>
      <c r="Z68" s="5" t="s">
        <v>928</v>
      </c>
      <c r="AA68" s="5" t="s">
        <v>1065</v>
      </c>
      <c r="AB68" t="s">
        <v>9</v>
      </c>
      <c r="AC68" s="2">
        <v>45573.69027777778</v>
      </c>
      <c r="AD68" s="2">
        <v>45573.69027777778</v>
      </c>
    </row>
    <row r="69" spans="1:30" x14ac:dyDescent="0.25">
      <c r="A69" t="s">
        <v>519</v>
      </c>
      <c r="B69" t="s">
        <v>1388</v>
      </c>
      <c r="C69" t="s">
        <v>520</v>
      </c>
      <c r="D69" t="s">
        <v>523</v>
      </c>
      <c r="E69" t="s">
        <v>16</v>
      </c>
      <c r="F69" t="s">
        <v>1184</v>
      </c>
      <c r="I69" s="5" t="s">
        <v>818</v>
      </c>
      <c r="J69" s="1">
        <v>40619</v>
      </c>
      <c r="K69" s="8">
        <v>62092165364</v>
      </c>
      <c r="O69" t="s">
        <v>11</v>
      </c>
      <c r="S69" t="s">
        <v>4</v>
      </c>
      <c r="T69" t="s">
        <v>105</v>
      </c>
      <c r="U69" t="s">
        <v>162</v>
      </c>
      <c r="V69">
        <v>29</v>
      </c>
      <c r="W69" t="s">
        <v>40</v>
      </c>
      <c r="X69" t="s">
        <v>521</v>
      </c>
      <c r="Y69" t="s">
        <v>8</v>
      </c>
      <c r="Z69" s="5" t="s">
        <v>1226</v>
      </c>
      <c r="AA69" s="5" t="s">
        <v>1227</v>
      </c>
      <c r="AB69" t="s">
        <v>9</v>
      </c>
      <c r="AC69" s="2">
        <v>45582.35</v>
      </c>
      <c r="AD69" s="2">
        <v>45582.35</v>
      </c>
    </row>
    <row r="70" spans="1:30" x14ac:dyDescent="0.25">
      <c r="A70" t="s">
        <v>519</v>
      </c>
      <c r="B70" t="s">
        <v>1388</v>
      </c>
      <c r="C70" t="s">
        <v>520</v>
      </c>
      <c r="D70" t="s">
        <v>523</v>
      </c>
      <c r="E70" t="s">
        <v>1391</v>
      </c>
      <c r="F70" t="s">
        <v>106</v>
      </c>
      <c r="I70" s="5" t="s">
        <v>662</v>
      </c>
      <c r="J70" s="1">
        <v>40093</v>
      </c>
      <c r="K70" s="8">
        <v>61793742367</v>
      </c>
      <c r="L70" s="7">
        <v>519711620147</v>
      </c>
      <c r="M70" t="s">
        <v>1</v>
      </c>
      <c r="N70" s="1">
        <v>41725</v>
      </c>
      <c r="O70" t="s">
        <v>2</v>
      </c>
      <c r="Q70" t="s">
        <v>163</v>
      </c>
      <c r="S70" t="s">
        <v>4</v>
      </c>
      <c r="T70" t="s">
        <v>164</v>
      </c>
      <c r="U70" t="s">
        <v>30</v>
      </c>
      <c r="V70">
        <v>22</v>
      </c>
      <c r="W70" t="s">
        <v>68</v>
      </c>
      <c r="X70" t="s">
        <v>521</v>
      </c>
      <c r="Y70" t="s">
        <v>8</v>
      </c>
      <c r="Z70" s="5" t="s">
        <v>1228</v>
      </c>
      <c r="AA70" s="5" t="s">
        <v>1229</v>
      </c>
      <c r="AB70" t="s">
        <v>9</v>
      </c>
      <c r="AC70" s="2">
        <v>45574.566666666666</v>
      </c>
      <c r="AD70" s="2">
        <v>45574.566666666666</v>
      </c>
    </row>
    <row r="71" spans="1:30" x14ac:dyDescent="0.25">
      <c r="A71" t="s">
        <v>519</v>
      </c>
      <c r="B71" t="s">
        <v>1389</v>
      </c>
      <c r="C71" t="s">
        <v>522</v>
      </c>
      <c r="D71" t="s">
        <v>523</v>
      </c>
      <c r="E71" t="s">
        <v>46</v>
      </c>
      <c r="F71" t="s">
        <v>1184</v>
      </c>
      <c r="I71" s="5" t="s">
        <v>663</v>
      </c>
      <c r="J71" s="1">
        <v>41752</v>
      </c>
      <c r="K71" s="8">
        <v>62533801330</v>
      </c>
      <c r="O71" t="s">
        <v>2</v>
      </c>
      <c r="S71" t="s">
        <v>4</v>
      </c>
      <c r="T71" t="s">
        <v>165</v>
      </c>
      <c r="U71" t="s">
        <v>166</v>
      </c>
      <c r="V71">
        <v>1</v>
      </c>
      <c r="W71" t="s">
        <v>31</v>
      </c>
      <c r="X71" t="s">
        <v>521</v>
      </c>
      <c r="Y71" t="s">
        <v>8</v>
      </c>
      <c r="Z71" s="5" t="s">
        <v>929</v>
      </c>
      <c r="AA71" s="5" t="s">
        <v>1066</v>
      </c>
      <c r="AB71" t="s">
        <v>9</v>
      </c>
      <c r="AC71" s="2">
        <v>45568.465277777781</v>
      </c>
      <c r="AD71" s="2">
        <v>45568.465277777781</v>
      </c>
    </row>
    <row r="72" spans="1:30" x14ac:dyDescent="0.25">
      <c r="A72" t="s">
        <v>519</v>
      </c>
      <c r="B72" t="s">
        <v>1389</v>
      </c>
      <c r="C72" t="s">
        <v>522</v>
      </c>
      <c r="D72" t="s">
        <v>523</v>
      </c>
      <c r="E72" t="s">
        <v>10</v>
      </c>
      <c r="F72" t="s">
        <v>1184</v>
      </c>
      <c r="I72" s="5" t="s">
        <v>664</v>
      </c>
      <c r="J72" s="1">
        <v>42404</v>
      </c>
      <c r="K72" s="8">
        <v>63557814394</v>
      </c>
      <c r="O72" t="s">
        <v>2</v>
      </c>
      <c r="S72" t="s">
        <v>4</v>
      </c>
      <c r="T72" t="s">
        <v>167</v>
      </c>
      <c r="U72" t="s">
        <v>168</v>
      </c>
      <c r="V72">
        <v>15</v>
      </c>
      <c r="W72" t="s">
        <v>31</v>
      </c>
      <c r="X72" t="s">
        <v>521</v>
      </c>
      <c r="Y72" t="s">
        <v>8</v>
      </c>
      <c r="Z72" s="5" t="s">
        <v>1168</v>
      </c>
      <c r="AA72" s="5" t="s">
        <v>1230</v>
      </c>
      <c r="AB72" t="s">
        <v>9</v>
      </c>
      <c r="AC72" s="2">
        <v>45568.352777777778</v>
      </c>
      <c r="AD72" s="2">
        <v>45568.352777777778</v>
      </c>
    </row>
    <row r="73" spans="1:30" x14ac:dyDescent="0.25">
      <c r="A73" t="s">
        <v>519</v>
      </c>
      <c r="B73" t="s">
        <v>1388</v>
      </c>
      <c r="C73" t="s">
        <v>520</v>
      </c>
      <c r="D73" t="s">
        <v>523</v>
      </c>
      <c r="E73" t="s">
        <v>1391</v>
      </c>
      <c r="F73" t="s">
        <v>106</v>
      </c>
      <c r="I73" s="5" t="s">
        <v>665</v>
      </c>
      <c r="J73" s="1">
        <v>39847</v>
      </c>
      <c r="K73" s="8">
        <v>62084967309</v>
      </c>
      <c r="L73" s="7">
        <v>551294820150</v>
      </c>
      <c r="M73" t="s">
        <v>1</v>
      </c>
      <c r="N73" s="1">
        <v>42027</v>
      </c>
      <c r="O73" t="s">
        <v>11</v>
      </c>
      <c r="Q73" t="s">
        <v>169</v>
      </c>
      <c r="S73" t="s">
        <v>20</v>
      </c>
      <c r="T73" t="s">
        <v>170</v>
      </c>
      <c r="U73" t="s">
        <v>6</v>
      </c>
      <c r="V73">
        <v>7</v>
      </c>
      <c r="W73" t="s">
        <v>45</v>
      </c>
      <c r="X73" t="s">
        <v>1387</v>
      </c>
      <c r="Y73" t="s">
        <v>8</v>
      </c>
      <c r="Z73" s="5" t="s">
        <v>930</v>
      </c>
      <c r="AA73" s="5" t="s">
        <v>1067</v>
      </c>
      <c r="AB73" t="s">
        <v>9</v>
      </c>
      <c r="AC73" s="2">
        <v>45568.693055555559</v>
      </c>
      <c r="AD73" s="2">
        <v>45568.693055555559</v>
      </c>
    </row>
    <row r="74" spans="1:30" x14ac:dyDescent="0.25">
      <c r="A74" t="s">
        <v>519</v>
      </c>
      <c r="B74" t="s">
        <v>1389</v>
      </c>
      <c r="C74" t="s">
        <v>522</v>
      </c>
      <c r="D74" t="s">
        <v>523</v>
      </c>
      <c r="E74" t="s">
        <v>46</v>
      </c>
      <c r="F74" t="s">
        <v>1184</v>
      </c>
      <c r="I74" s="5" t="s">
        <v>666</v>
      </c>
      <c r="J74" s="1">
        <v>41744</v>
      </c>
      <c r="K74" s="8">
        <v>63527659390</v>
      </c>
      <c r="O74" t="s">
        <v>2</v>
      </c>
      <c r="S74" t="s">
        <v>4</v>
      </c>
      <c r="T74" t="s">
        <v>171</v>
      </c>
      <c r="U74" t="s">
        <v>172</v>
      </c>
      <c r="V74">
        <v>25</v>
      </c>
      <c r="W74" t="s">
        <v>173</v>
      </c>
      <c r="X74" t="s">
        <v>521</v>
      </c>
      <c r="Y74" t="s">
        <v>8</v>
      </c>
      <c r="Z74" s="5" t="s">
        <v>931</v>
      </c>
      <c r="AA74" s="5" t="s">
        <v>1068</v>
      </c>
      <c r="AB74" t="s">
        <v>9</v>
      </c>
      <c r="AC74" s="2">
        <v>45568.467361111114</v>
      </c>
      <c r="AD74" s="2">
        <v>45568.467361111114</v>
      </c>
    </row>
    <row r="75" spans="1:30" x14ac:dyDescent="0.25">
      <c r="A75" t="s">
        <v>519</v>
      </c>
      <c r="B75" t="s">
        <v>1388</v>
      </c>
      <c r="C75" t="s">
        <v>520</v>
      </c>
      <c r="D75" t="s">
        <v>523</v>
      </c>
      <c r="E75" t="s">
        <v>1391</v>
      </c>
      <c r="F75" t="s">
        <v>1390</v>
      </c>
      <c r="I75" s="5" t="s">
        <v>667</v>
      </c>
      <c r="J75" s="1">
        <v>40159</v>
      </c>
      <c r="K75" s="8">
        <v>61740727380</v>
      </c>
      <c r="L75" s="7">
        <v>514310120149</v>
      </c>
      <c r="M75" t="s">
        <v>1</v>
      </c>
      <c r="N75" s="1">
        <v>41673</v>
      </c>
      <c r="O75" t="s">
        <v>11</v>
      </c>
      <c r="Q75" t="s">
        <v>174</v>
      </c>
      <c r="S75" t="s">
        <v>4</v>
      </c>
      <c r="T75" t="s">
        <v>92</v>
      </c>
      <c r="U75" t="s">
        <v>6</v>
      </c>
      <c r="V75">
        <v>22</v>
      </c>
      <c r="W75" t="s">
        <v>525</v>
      </c>
      <c r="X75" t="s">
        <v>521</v>
      </c>
      <c r="Y75" t="s">
        <v>8</v>
      </c>
      <c r="Z75" s="5" t="s">
        <v>904</v>
      </c>
      <c r="AA75" s="5" t="s">
        <v>1042</v>
      </c>
      <c r="AB75" t="s">
        <v>9</v>
      </c>
      <c r="AC75" s="2">
        <v>45574.690972222219</v>
      </c>
      <c r="AD75" s="2">
        <v>45574.690972222219</v>
      </c>
    </row>
    <row r="76" spans="1:30" x14ac:dyDescent="0.25">
      <c r="A76" t="s">
        <v>519</v>
      </c>
      <c r="B76" t="s">
        <v>1389</v>
      </c>
      <c r="C76" t="s">
        <v>522</v>
      </c>
      <c r="D76" t="s">
        <v>523</v>
      </c>
      <c r="E76" t="s">
        <v>23</v>
      </c>
      <c r="F76" t="s">
        <v>1184</v>
      </c>
      <c r="I76" s="5" t="s">
        <v>668</v>
      </c>
      <c r="J76" s="1">
        <v>41580</v>
      </c>
      <c r="K76" s="8">
        <v>62973548390</v>
      </c>
      <c r="O76" t="s">
        <v>11</v>
      </c>
      <c r="S76" t="s">
        <v>20</v>
      </c>
      <c r="T76" t="s">
        <v>175</v>
      </c>
      <c r="U76" t="s">
        <v>176</v>
      </c>
      <c r="V76">
        <v>46</v>
      </c>
      <c r="W76" t="s">
        <v>177</v>
      </c>
      <c r="X76" t="s">
        <v>1387</v>
      </c>
      <c r="Y76" t="s">
        <v>8</v>
      </c>
      <c r="Z76" s="5" t="s">
        <v>1169</v>
      </c>
      <c r="AA76" s="5" t="s">
        <v>1231</v>
      </c>
      <c r="AB76" t="s">
        <v>9</v>
      </c>
      <c r="AC76" s="2">
        <v>45573.386805555558</v>
      </c>
      <c r="AD76" s="2">
        <v>45573.386805555558</v>
      </c>
    </row>
    <row r="77" spans="1:30" x14ac:dyDescent="0.25">
      <c r="A77" t="s">
        <v>519</v>
      </c>
      <c r="B77" t="s">
        <v>1389</v>
      </c>
      <c r="C77" t="s">
        <v>522</v>
      </c>
      <c r="D77" t="s">
        <v>523</v>
      </c>
      <c r="E77" t="s">
        <v>46</v>
      </c>
      <c r="F77" t="s">
        <v>1184</v>
      </c>
      <c r="I77" s="5" t="s">
        <v>669</v>
      </c>
      <c r="J77" s="1">
        <v>41921</v>
      </c>
      <c r="K77" s="8">
        <v>62568127350</v>
      </c>
      <c r="O77" t="s">
        <v>11</v>
      </c>
      <c r="S77" t="s">
        <v>4</v>
      </c>
      <c r="T77" t="s">
        <v>178</v>
      </c>
      <c r="U77" t="s">
        <v>86</v>
      </c>
      <c r="V77">
        <v>41</v>
      </c>
      <c r="W77" t="s">
        <v>537</v>
      </c>
      <c r="X77" t="s">
        <v>521</v>
      </c>
      <c r="Y77" t="s">
        <v>8</v>
      </c>
      <c r="Z77" s="5" t="s">
        <v>1232</v>
      </c>
      <c r="AA77" s="5" t="s">
        <v>1069</v>
      </c>
      <c r="AB77" t="s">
        <v>9</v>
      </c>
      <c r="AC77" s="2">
        <v>45568.474999999999</v>
      </c>
      <c r="AD77" s="2">
        <v>45568.474999999999</v>
      </c>
    </row>
    <row r="78" spans="1:30" x14ac:dyDescent="0.25">
      <c r="A78" t="s">
        <v>519</v>
      </c>
      <c r="B78" t="s">
        <v>1389</v>
      </c>
      <c r="C78" t="s">
        <v>522</v>
      </c>
      <c r="D78" t="s">
        <v>523</v>
      </c>
      <c r="E78" t="s">
        <v>23</v>
      </c>
      <c r="F78" t="s">
        <v>1184</v>
      </c>
      <c r="I78" s="5" t="s">
        <v>819</v>
      </c>
      <c r="J78" s="1">
        <v>41509</v>
      </c>
      <c r="K78" s="8">
        <v>62535843323</v>
      </c>
      <c r="O78" t="s">
        <v>2</v>
      </c>
      <c r="S78" t="s">
        <v>4</v>
      </c>
      <c r="T78" t="s">
        <v>179</v>
      </c>
      <c r="U78" t="s">
        <v>180</v>
      </c>
      <c r="V78">
        <v>23</v>
      </c>
      <c r="W78" t="s">
        <v>538</v>
      </c>
      <c r="X78" t="s">
        <v>521</v>
      </c>
      <c r="Y78" t="s">
        <v>8</v>
      </c>
      <c r="Z78" s="5" t="s">
        <v>1233</v>
      </c>
      <c r="AA78" s="5" t="s">
        <v>1234</v>
      </c>
      <c r="AB78" t="s">
        <v>9</v>
      </c>
      <c r="AC78" s="2">
        <v>45573.402083333334</v>
      </c>
      <c r="AD78" s="2">
        <v>45573.402083333334</v>
      </c>
    </row>
    <row r="79" spans="1:30" x14ac:dyDescent="0.25">
      <c r="A79" t="s">
        <v>519</v>
      </c>
      <c r="B79" t="s">
        <v>1389</v>
      </c>
      <c r="C79" t="s">
        <v>522</v>
      </c>
      <c r="D79" t="s">
        <v>523</v>
      </c>
      <c r="E79" t="s">
        <v>23</v>
      </c>
      <c r="F79" t="s">
        <v>1184</v>
      </c>
      <c r="I79" s="5" t="s">
        <v>670</v>
      </c>
      <c r="J79" s="1">
        <v>41569</v>
      </c>
      <c r="K79" s="8">
        <v>63384514343</v>
      </c>
      <c r="O79" t="s">
        <v>2</v>
      </c>
      <c r="S79" t="s">
        <v>4</v>
      </c>
      <c r="T79" t="s">
        <v>181</v>
      </c>
      <c r="U79" t="s">
        <v>182</v>
      </c>
      <c r="V79">
        <v>3</v>
      </c>
      <c r="W79" t="s">
        <v>26</v>
      </c>
      <c r="X79" t="s">
        <v>521</v>
      </c>
      <c r="Y79" t="s">
        <v>8</v>
      </c>
      <c r="Z79" s="5" t="s">
        <v>1235</v>
      </c>
      <c r="AA79" s="5" t="s">
        <v>1236</v>
      </c>
      <c r="AB79" t="s">
        <v>9</v>
      </c>
      <c r="AC79" s="2">
        <v>45573.402777777781</v>
      </c>
      <c r="AD79" s="2">
        <v>45573.402777777781</v>
      </c>
    </row>
    <row r="80" spans="1:30" x14ac:dyDescent="0.25">
      <c r="A80" t="s">
        <v>519</v>
      </c>
      <c r="B80" t="s">
        <v>1389</v>
      </c>
      <c r="C80" t="s">
        <v>522</v>
      </c>
      <c r="D80" t="s">
        <v>523</v>
      </c>
      <c r="E80" t="s">
        <v>46</v>
      </c>
      <c r="F80" t="s">
        <v>1184</v>
      </c>
      <c r="I80" s="5" t="s">
        <v>671</v>
      </c>
      <c r="J80" s="1">
        <v>41922</v>
      </c>
      <c r="K80" s="8">
        <v>63022836392</v>
      </c>
      <c r="O80" t="s">
        <v>2</v>
      </c>
      <c r="S80" t="s">
        <v>4</v>
      </c>
      <c r="T80" t="s">
        <v>183</v>
      </c>
      <c r="U80" t="s">
        <v>184</v>
      </c>
      <c r="V80">
        <v>25</v>
      </c>
      <c r="W80" t="s">
        <v>15</v>
      </c>
      <c r="X80" t="s">
        <v>521</v>
      </c>
      <c r="Y80" t="s">
        <v>8</v>
      </c>
      <c r="Z80" s="5" t="s">
        <v>932</v>
      </c>
      <c r="AA80" s="5" t="s">
        <v>1237</v>
      </c>
      <c r="AB80" t="s">
        <v>9</v>
      </c>
      <c r="AC80" s="2">
        <v>45568.475694444445</v>
      </c>
      <c r="AD80" s="2">
        <v>45568.475694444445</v>
      </c>
    </row>
    <row r="81" spans="1:30" x14ac:dyDescent="0.25">
      <c r="A81" t="s">
        <v>519</v>
      </c>
      <c r="B81" t="s">
        <v>1389</v>
      </c>
      <c r="C81" t="s">
        <v>522</v>
      </c>
      <c r="D81" t="s">
        <v>523</v>
      </c>
      <c r="E81" t="s">
        <v>23</v>
      </c>
      <c r="F81" t="s">
        <v>1184</v>
      </c>
      <c r="I81" s="5" t="s">
        <v>672</v>
      </c>
      <c r="J81" s="1">
        <v>41593</v>
      </c>
      <c r="K81" s="8">
        <v>62790046352</v>
      </c>
      <c r="O81" t="s">
        <v>2</v>
      </c>
      <c r="S81" t="s">
        <v>4</v>
      </c>
      <c r="T81" t="s">
        <v>63</v>
      </c>
      <c r="U81" t="s">
        <v>185</v>
      </c>
      <c r="V81">
        <v>9</v>
      </c>
      <c r="W81" t="s">
        <v>31</v>
      </c>
      <c r="X81" t="s">
        <v>521</v>
      </c>
      <c r="Y81" t="s">
        <v>8</v>
      </c>
      <c r="Z81" s="5" t="s">
        <v>933</v>
      </c>
      <c r="AA81" s="5" t="s">
        <v>1070</v>
      </c>
      <c r="AB81" t="s">
        <v>9</v>
      </c>
      <c r="AC81" s="2">
        <v>45573.420138888891</v>
      </c>
      <c r="AD81" s="2">
        <v>45573.420138888891</v>
      </c>
    </row>
    <row r="82" spans="1:30" x14ac:dyDescent="0.25">
      <c r="A82" t="s">
        <v>519</v>
      </c>
      <c r="B82" t="s">
        <v>1389</v>
      </c>
      <c r="C82" t="s">
        <v>522</v>
      </c>
      <c r="D82" t="s">
        <v>523</v>
      </c>
      <c r="E82" t="s">
        <v>18</v>
      </c>
      <c r="F82" t="s">
        <v>1184</v>
      </c>
      <c r="I82" s="5" t="s">
        <v>673</v>
      </c>
      <c r="J82" s="1">
        <v>42481</v>
      </c>
      <c r="K82" s="8">
        <v>62562135300</v>
      </c>
      <c r="O82" t="s">
        <v>2</v>
      </c>
      <c r="Q82" t="s">
        <v>186</v>
      </c>
      <c r="S82" t="s">
        <v>4</v>
      </c>
      <c r="T82" t="s">
        <v>187</v>
      </c>
      <c r="U82" t="s">
        <v>188</v>
      </c>
      <c r="V82">
        <v>112</v>
      </c>
      <c r="W82" t="s">
        <v>31</v>
      </c>
      <c r="X82" t="s">
        <v>521</v>
      </c>
      <c r="Y82" t="s">
        <v>8</v>
      </c>
      <c r="Z82" s="5" t="s">
        <v>934</v>
      </c>
      <c r="AA82" s="5" t="s">
        <v>1238</v>
      </c>
      <c r="AB82" t="s">
        <v>9</v>
      </c>
      <c r="AC82" s="2">
        <v>45567.380555555559</v>
      </c>
      <c r="AD82" s="2">
        <v>45567.434027777781</v>
      </c>
    </row>
    <row r="83" spans="1:30" x14ac:dyDescent="0.25">
      <c r="A83" t="s">
        <v>519</v>
      </c>
      <c r="B83" t="s">
        <v>1388</v>
      </c>
      <c r="C83" t="s">
        <v>520</v>
      </c>
      <c r="D83" t="s">
        <v>523</v>
      </c>
      <c r="E83" t="s">
        <v>1391</v>
      </c>
      <c r="F83" t="s">
        <v>106</v>
      </c>
      <c r="I83" s="5" t="s">
        <v>674</v>
      </c>
      <c r="J83" s="1">
        <v>39985</v>
      </c>
      <c r="K83" s="8">
        <v>7810902377</v>
      </c>
      <c r="L83" s="7">
        <v>611833120174</v>
      </c>
      <c r="M83" t="s">
        <v>1</v>
      </c>
      <c r="N83" s="1">
        <v>42761</v>
      </c>
      <c r="O83" t="s">
        <v>2</v>
      </c>
      <c r="Q83" t="s">
        <v>189</v>
      </c>
      <c r="S83" t="s">
        <v>4</v>
      </c>
      <c r="T83" t="s">
        <v>190</v>
      </c>
      <c r="U83" t="s">
        <v>30</v>
      </c>
      <c r="V83">
        <v>5</v>
      </c>
      <c r="W83" t="s">
        <v>191</v>
      </c>
      <c r="X83" t="s">
        <v>521</v>
      </c>
      <c r="Y83" t="s">
        <v>8</v>
      </c>
      <c r="Z83" s="5" t="s">
        <v>935</v>
      </c>
      <c r="AA83" s="5" t="s">
        <v>1071</v>
      </c>
      <c r="AB83" t="s">
        <v>9</v>
      </c>
      <c r="AC83" s="2">
        <v>45573.700694444444</v>
      </c>
      <c r="AD83" s="2">
        <v>45573.700694444444</v>
      </c>
    </row>
    <row r="84" spans="1:30" x14ac:dyDescent="0.25">
      <c r="A84" t="s">
        <v>519</v>
      </c>
      <c r="B84" t="s">
        <v>1388</v>
      </c>
      <c r="C84" t="s">
        <v>520</v>
      </c>
      <c r="D84" t="s">
        <v>523</v>
      </c>
      <c r="E84" t="s">
        <v>0</v>
      </c>
      <c r="F84" t="s">
        <v>1184</v>
      </c>
      <c r="I84" s="5" t="s">
        <v>675</v>
      </c>
      <c r="J84" s="1">
        <v>41273</v>
      </c>
      <c r="K84" s="8">
        <v>7335000300</v>
      </c>
      <c r="L84" s="7">
        <v>632613920172</v>
      </c>
      <c r="M84" t="s">
        <v>1</v>
      </c>
      <c r="N84" s="1">
        <v>42984</v>
      </c>
      <c r="O84" t="s">
        <v>2</v>
      </c>
      <c r="Q84" t="s">
        <v>192</v>
      </c>
      <c r="S84" t="s">
        <v>4</v>
      </c>
      <c r="T84" t="s">
        <v>193</v>
      </c>
      <c r="U84" t="s">
        <v>30</v>
      </c>
      <c r="V84">
        <v>23</v>
      </c>
      <c r="W84" t="s">
        <v>31</v>
      </c>
      <c r="X84" t="s">
        <v>521</v>
      </c>
      <c r="Y84" t="s">
        <v>8</v>
      </c>
      <c r="Z84" s="5" t="s">
        <v>936</v>
      </c>
      <c r="AA84" s="5" t="s">
        <v>1072</v>
      </c>
      <c r="AB84" t="s">
        <v>9</v>
      </c>
      <c r="AC84" s="2">
        <v>45566.690972222219</v>
      </c>
      <c r="AD84" s="2">
        <v>45566.690972222219</v>
      </c>
    </row>
    <row r="85" spans="1:30" x14ac:dyDescent="0.25">
      <c r="A85" t="s">
        <v>519</v>
      </c>
      <c r="B85" t="s">
        <v>1389</v>
      </c>
      <c r="C85" t="s">
        <v>522</v>
      </c>
      <c r="D85" t="s">
        <v>523</v>
      </c>
      <c r="E85" t="s">
        <v>10</v>
      </c>
      <c r="F85" t="s">
        <v>1184</v>
      </c>
      <c r="I85" s="5" t="s">
        <v>676</v>
      </c>
      <c r="J85" s="1">
        <v>42230</v>
      </c>
      <c r="K85" s="8">
        <v>8416835306</v>
      </c>
      <c r="O85" t="s">
        <v>11</v>
      </c>
      <c r="S85" t="s">
        <v>4</v>
      </c>
      <c r="T85" t="s">
        <v>187</v>
      </c>
      <c r="U85" t="s">
        <v>194</v>
      </c>
      <c r="V85">
        <v>19</v>
      </c>
      <c r="W85" t="s">
        <v>31</v>
      </c>
      <c r="X85" t="s">
        <v>521</v>
      </c>
      <c r="Y85" t="s">
        <v>8</v>
      </c>
      <c r="Z85" s="5" t="s">
        <v>937</v>
      </c>
      <c r="AA85" s="5" t="s">
        <v>1073</v>
      </c>
      <c r="AB85" t="s">
        <v>9</v>
      </c>
      <c r="AC85" s="2">
        <v>45568.354166666664</v>
      </c>
      <c r="AD85" s="2">
        <v>45568.354166666664</v>
      </c>
    </row>
    <row r="86" spans="1:30" x14ac:dyDescent="0.25">
      <c r="A86" t="s">
        <v>519</v>
      </c>
      <c r="B86" t="s">
        <v>1389</v>
      </c>
      <c r="C86" t="s">
        <v>522</v>
      </c>
      <c r="D86" t="s">
        <v>523</v>
      </c>
      <c r="E86" t="s">
        <v>10</v>
      </c>
      <c r="F86" t="s">
        <v>1184</v>
      </c>
      <c r="I86" s="5" t="s">
        <v>677</v>
      </c>
      <c r="J86" s="1">
        <v>42424</v>
      </c>
      <c r="K86" s="8">
        <v>10312920393</v>
      </c>
      <c r="O86" t="s">
        <v>11</v>
      </c>
      <c r="S86" t="s">
        <v>4</v>
      </c>
      <c r="T86" t="s">
        <v>195</v>
      </c>
      <c r="U86" t="s">
        <v>176</v>
      </c>
      <c r="V86">
        <v>10</v>
      </c>
      <c r="W86" t="s">
        <v>539</v>
      </c>
      <c r="X86" t="s">
        <v>521</v>
      </c>
      <c r="Y86" t="s">
        <v>8</v>
      </c>
      <c r="Z86" s="5" t="s">
        <v>938</v>
      </c>
      <c r="AA86" s="5" t="s">
        <v>1074</v>
      </c>
      <c r="AB86" t="s">
        <v>9</v>
      </c>
      <c r="AC86" s="2">
        <v>45568.355555555558</v>
      </c>
      <c r="AD86" s="2">
        <v>45568.355555555558</v>
      </c>
    </row>
    <row r="87" spans="1:30" x14ac:dyDescent="0.25">
      <c r="A87" t="s">
        <v>519</v>
      </c>
      <c r="B87" t="s">
        <v>1388</v>
      </c>
      <c r="C87" t="s">
        <v>520</v>
      </c>
      <c r="D87" t="s">
        <v>523</v>
      </c>
      <c r="E87" t="s">
        <v>0</v>
      </c>
      <c r="F87" t="s">
        <v>1184</v>
      </c>
      <c r="I87" s="5" t="s">
        <v>678</v>
      </c>
      <c r="J87" s="1">
        <v>41071</v>
      </c>
      <c r="K87" s="8">
        <v>7568055388</v>
      </c>
      <c r="L87" s="7">
        <v>518685020140</v>
      </c>
      <c r="M87" t="s">
        <v>1</v>
      </c>
      <c r="N87" s="1">
        <v>41717</v>
      </c>
      <c r="O87" t="s">
        <v>11</v>
      </c>
      <c r="Q87" t="s">
        <v>196</v>
      </c>
      <c r="S87" t="s">
        <v>4</v>
      </c>
      <c r="T87" t="s">
        <v>197</v>
      </c>
      <c r="U87" t="s">
        <v>6</v>
      </c>
      <c r="W87" t="s">
        <v>37</v>
      </c>
      <c r="X87" t="s">
        <v>521</v>
      </c>
      <c r="Y87" t="s">
        <v>8</v>
      </c>
      <c r="Z87" s="5" t="s">
        <v>939</v>
      </c>
      <c r="AA87" s="5" t="s">
        <v>1075</v>
      </c>
      <c r="AB87" t="s">
        <v>9</v>
      </c>
      <c r="AC87" s="2">
        <v>45566.682638888888</v>
      </c>
      <c r="AD87" s="2">
        <v>45566.682638888888</v>
      </c>
    </row>
    <row r="88" spans="1:30" x14ac:dyDescent="0.25">
      <c r="A88" t="s">
        <v>519</v>
      </c>
      <c r="B88" t="s">
        <v>1389</v>
      </c>
      <c r="C88" t="s">
        <v>522</v>
      </c>
      <c r="D88" t="s">
        <v>523</v>
      </c>
      <c r="E88" t="s">
        <v>23</v>
      </c>
      <c r="F88" t="s">
        <v>1184</v>
      </c>
      <c r="I88" s="5" t="s">
        <v>820</v>
      </c>
      <c r="J88" s="1">
        <v>41734</v>
      </c>
      <c r="K88" s="8">
        <v>4155358247</v>
      </c>
      <c r="O88" t="s">
        <v>11</v>
      </c>
      <c r="S88" t="s">
        <v>4</v>
      </c>
      <c r="T88" t="s">
        <v>198</v>
      </c>
      <c r="U88" t="s">
        <v>199</v>
      </c>
      <c r="V88">
        <v>5</v>
      </c>
      <c r="W88" t="s">
        <v>31</v>
      </c>
      <c r="X88" t="s">
        <v>521</v>
      </c>
      <c r="Y88" t="s">
        <v>8</v>
      </c>
      <c r="Z88" s="5" t="s">
        <v>1239</v>
      </c>
      <c r="AA88" s="5" t="s">
        <v>1076</v>
      </c>
      <c r="AB88" t="s">
        <v>9</v>
      </c>
      <c r="AC88" s="2">
        <v>45573.42083333333</v>
      </c>
      <c r="AD88" s="2">
        <v>45573.42083333333</v>
      </c>
    </row>
    <row r="89" spans="1:30" x14ac:dyDescent="0.25">
      <c r="A89" t="s">
        <v>519</v>
      </c>
      <c r="B89" t="s">
        <v>1389</v>
      </c>
      <c r="C89" t="s">
        <v>522</v>
      </c>
      <c r="D89" t="s">
        <v>523</v>
      </c>
      <c r="E89" t="s">
        <v>18</v>
      </c>
      <c r="F89" t="s">
        <v>1184</v>
      </c>
      <c r="I89" s="5" t="s">
        <v>679</v>
      </c>
      <c r="J89" s="1">
        <v>42616</v>
      </c>
      <c r="K89" s="8">
        <v>62973552311</v>
      </c>
      <c r="O89" t="s">
        <v>11</v>
      </c>
      <c r="Q89" t="s">
        <v>200</v>
      </c>
      <c r="S89" t="s">
        <v>20</v>
      </c>
      <c r="T89" t="s">
        <v>175</v>
      </c>
      <c r="U89" t="s">
        <v>176</v>
      </c>
      <c r="V89">
        <v>46</v>
      </c>
      <c r="W89" t="s">
        <v>201</v>
      </c>
      <c r="X89" t="s">
        <v>1387</v>
      </c>
      <c r="Y89" t="s">
        <v>8</v>
      </c>
      <c r="Z89" s="5" t="s">
        <v>1169</v>
      </c>
      <c r="AA89" s="5" t="s">
        <v>1231</v>
      </c>
      <c r="AB89" t="s">
        <v>9</v>
      </c>
      <c r="AC89" s="2">
        <v>45567.381944444445</v>
      </c>
      <c r="AD89" s="2">
        <v>45567.434027777781</v>
      </c>
    </row>
    <row r="90" spans="1:30" x14ac:dyDescent="0.25">
      <c r="A90" t="s">
        <v>519</v>
      </c>
      <c r="B90" t="s">
        <v>1389</v>
      </c>
      <c r="C90" t="s">
        <v>522</v>
      </c>
      <c r="D90" t="s">
        <v>523</v>
      </c>
      <c r="E90" t="s">
        <v>18</v>
      </c>
      <c r="F90" t="s">
        <v>1184</v>
      </c>
      <c r="I90" s="5" t="s">
        <v>680</v>
      </c>
      <c r="J90" s="1">
        <v>42766</v>
      </c>
      <c r="K90" s="8">
        <v>63267760313</v>
      </c>
      <c r="O90" t="s">
        <v>11</v>
      </c>
      <c r="Q90" t="s">
        <v>202</v>
      </c>
      <c r="S90" t="s">
        <v>4</v>
      </c>
      <c r="T90" t="s">
        <v>203</v>
      </c>
      <c r="U90" t="s">
        <v>204</v>
      </c>
      <c r="V90">
        <v>17</v>
      </c>
      <c r="W90" t="s">
        <v>37</v>
      </c>
      <c r="X90" t="s">
        <v>521</v>
      </c>
      <c r="Y90" t="s">
        <v>8</v>
      </c>
      <c r="Z90" s="5" t="s">
        <v>1240</v>
      </c>
      <c r="AA90" s="5" t="s">
        <v>1077</v>
      </c>
      <c r="AB90" t="s">
        <v>9</v>
      </c>
      <c r="AC90" s="2">
        <v>45567.383333333331</v>
      </c>
      <c r="AD90" s="2">
        <v>45567.43472222222</v>
      </c>
    </row>
    <row r="91" spans="1:30" x14ac:dyDescent="0.25">
      <c r="A91" t="s">
        <v>519</v>
      </c>
      <c r="B91" t="s">
        <v>1388</v>
      </c>
      <c r="C91" t="s">
        <v>520</v>
      </c>
      <c r="D91" t="s">
        <v>523</v>
      </c>
      <c r="E91" t="s">
        <v>0</v>
      </c>
      <c r="F91" t="s">
        <v>1184</v>
      </c>
      <c r="I91" s="5" t="s">
        <v>681</v>
      </c>
      <c r="J91" s="1">
        <v>40969</v>
      </c>
      <c r="K91" s="8">
        <v>62903789371</v>
      </c>
      <c r="L91" s="7">
        <v>645039420187</v>
      </c>
      <c r="M91" t="s">
        <v>1</v>
      </c>
      <c r="N91" s="1">
        <v>43109</v>
      </c>
      <c r="O91" t="s">
        <v>2</v>
      </c>
      <c r="Q91" t="s">
        <v>205</v>
      </c>
      <c r="S91" t="s">
        <v>4</v>
      </c>
      <c r="T91" t="s">
        <v>206</v>
      </c>
      <c r="U91" t="s">
        <v>30</v>
      </c>
      <c r="V91">
        <v>2</v>
      </c>
      <c r="W91" t="s">
        <v>45</v>
      </c>
      <c r="X91" t="s">
        <v>521</v>
      </c>
      <c r="Y91" t="s">
        <v>8</v>
      </c>
      <c r="Z91" s="5" t="s">
        <v>1241</v>
      </c>
      <c r="AA91" s="5" t="s">
        <v>1078</v>
      </c>
      <c r="AB91" t="s">
        <v>9</v>
      </c>
      <c r="AC91" s="2">
        <v>45566.618055555555</v>
      </c>
      <c r="AD91" s="2">
        <v>45566.618055555555</v>
      </c>
    </row>
    <row r="92" spans="1:30" x14ac:dyDescent="0.25">
      <c r="A92" t="s">
        <v>519</v>
      </c>
      <c r="B92" t="s">
        <v>1388</v>
      </c>
      <c r="C92" t="s">
        <v>520</v>
      </c>
      <c r="D92" t="s">
        <v>523</v>
      </c>
      <c r="E92" t="s">
        <v>16</v>
      </c>
      <c r="F92" t="s">
        <v>1184</v>
      </c>
      <c r="I92" s="5" t="s">
        <v>682</v>
      </c>
      <c r="J92" s="1">
        <v>40424</v>
      </c>
      <c r="K92" s="8">
        <v>62396213318</v>
      </c>
      <c r="O92" t="s">
        <v>2</v>
      </c>
      <c r="S92" t="s">
        <v>4</v>
      </c>
      <c r="T92" t="s">
        <v>207</v>
      </c>
      <c r="U92" t="s">
        <v>208</v>
      </c>
      <c r="V92">
        <v>23</v>
      </c>
      <c r="W92" t="s">
        <v>31</v>
      </c>
      <c r="X92" t="s">
        <v>521</v>
      </c>
      <c r="Y92" t="s">
        <v>8</v>
      </c>
      <c r="Z92" s="5" t="s">
        <v>940</v>
      </c>
      <c r="AA92" s="5" t="s">
        <v>1242</v>
      </c>
      <c r="AB92" t="s">
        <v>9</v>
      </c>
      <c r="AC92" s="2">
        <v>45582.348611111112</v>
      </c>
      <c r="AD92" s="2">
        <v>45582.348611111112</v>
      </c>
    </row>
    <row r="93" spans="1:30" x14ac:dyDescent="0.25">
      <c r="A93" t="s">
        <v>519</v>
      </c>
      <c r="B93" t="s">
        <v>1388</v>
      </c>
      <c r="C93" t="s">
        <v>520</v>
      </c>
      <c r="D93" t="s">
        <v>523</v>
      </c>
      <c r="E93" t="s">
        <v>1391</v>
      </c>
      <c r="F93" t="s">
        <v>1390</v>
      </c>
      <c r="I93" s="5" t="s">
        <v>821</v>
      </c>
      <c r="J93" s="1">
        <v>40133</v>
      </c>
      <c r="K93" s="8">
        <v>8409065363</v>
      </c>
      <c r="L93" s="7">
        <v>586141920161</v>
      </c>
      <c r="M93" t="s">
        <v>1</v>
      </c>
      <c r="N93" s="1">
        <v>42471</v>
      </c>
      <c r="O93" t="s">
        <v>11</v>
      </c>
      <c r="Q93" t="s">
        <v>209</v>
      </c>
      <c r="S93" t="s">
        <v>4</v>
      </c>
      <c r="T93" t="s">
        <v>210</v>
      </c>
      <c r="U93" t="s">
        <v>59</v>
      </c>
      <c r="V93">
        <v>5</v>
      </c>
      <c r="W93" t="s">
        <v>540</v>
      </c>
      <c r="X93" t="s">
        <v>521</v>
      </c>
      <c r="Y93" t="s">
        <v>8</v>
      </c>
      <c r="Z93" s="5" t="s">
        <v>1243</v>
      </c>
      <c r="AA93" s="5" t="s">
        <v>1244</v>
      </c>
      <c r="AB93" t="s">
        <v>9</v>
      </c>
      <c r="AC93" s="2">
        <v>45574.663194444445</v>
      </c>
      <c r="AD93" s="2">
        <v>45574.663194444445</v>
      </c>
    </row>
    <row r="94" spans="1:30" x14ac:dyDescent="0.25">
      <c r="A94" t="s">
        <v>519</v>
      </c>
      <c r="B94" t="s">
        <v>1388</v>
      </c>
      <c r="C94" t="s">
        <v>520</v>
      </c>
      <c r="D94" t="s">
        <v>523</v>
      </c>
      <c r="E94" t="s">
        <v>16</v>
      </c>
      <c r="F94" t="s">
        <v>1184</v>
      </c>
      <c r="I94" s="5" t="s">
        <v>683</v>
      </c>
      <c r="J94" s="1">
        <v>40334</v>
      </c>
      <c r="K94" s="8">
        <v>62099599386</v>
      </c>
      <c r="O94" t="s">
        <v>11</v>
      </c>
      <c r="S94" t="s">
        <v>4</v>
      </c>
      <c r="T94" t="s">
        <v>24</v>
      </c>
      <c r="U94" t="s">
        <v>211</v>
      </c>
      <c r="V94">
        <v>39</v>
      </c>
      <c r="W94" t="s">
        <v>212</v>
      </c>
      <c r="X94" t="s">
        <v>521</v>
      </c>
      <c r="Y94" t="s">
        <v>8</v>
      </c>
      <c r="Z94" s="5" t="s">
        <v>1210</v>
      </c>
      <c r="AA94" s="5" t="s">
        <v>1079</v>
      </c>
      <c r="AB94" t="s">
        <v>9</v>
      </c>
      <c r="AC94" s="2">
        <v>45582.354166666664</v>
      </c>
      <c r="AD94" s="2">
        <v>45582.354166666664</v>
      </c>
    </row>
    <row r="95" spans="1:30" x14ac:dyDescent="0.25">
      <c r="A95" t="s">
        <v>519</v>
      </c>
      <c r="B95" t="s">
        <v>1388</v>
      </c>
      <c r="C95" t="s">
        <v>520</v>
      </c>
      <c r="D95" t="s">
        <v>523</v>
      </c>
      <c r="E95" t="s">
        <v>0</v>
      </c>
      <c r="F95" t="s">
        <v>1184</v>
      </c>
      <c r="I95" s="5" t="s">
        <v>684</v>
      </c>
      <c r="J95" s="1">
        <v>41399</v>
      </c>
      <c r="K95" s="8">
        <v>10954127366</v>
      </c>
      <c r="L95" s="7">
        <v>717123520197</v>
      </c>
      <c r="M95" t="s">
        <v>1</v>
      </c>
      <c r="N95" s="1">
        <v>43818</v>
      </c>
      <c r="O95" t="s">
        <v>2</v>
      </c>
      <c r="Q95" t="s">
        <v>213</v>
      </c>
      <c r="S95" t="s">
        <v>4</v>
      </c>
      <c r="T95" t="s">
        <v>214</v>
      </c>
      <c r="U95" t="s">
        <v>30</v>
      </c>
      <c r="V95">
        <v>16</v>
      </c>
      <c r="W95" t="s">
        <v>215</v>
      </c>
      <c r="X95" t="s">
        <v>521</v>
      </c>
      <c r="Y95" t="s">
        <v>8</v>
      </c>
      <c r="Z95" s="5" t="s">
        <v>1245</v>
      </c>
      <c r="AA95" s="5" t="s">
        <v>1080</v>
      </c>
      <c r="AB95" t="s">
        <v>9</v>
      </c>
      <c r="AC95" s="2">
        <v>45566.677777777775</v>
      </c>
      <c r="AD95" s="2">
        <v>45566.677777777775</v>
      </c>
    </row>
    <row r="96" spans="1:30" x14ac:dyDescent="0.25">
      <c r="A96" t="s">
        <v>519</v>
      </c>
      <c r="B96" t="s">
        <v>1389</v>
      </c>
      <c r="C96" t="s">
        <v>522</v>
      </c>
      <c r="D96" t="s">
        <v>523</v>
      </c>
      <c r="E96" t="s">
        <v>46</v>
      </c>
      <c r="F96" t="s">
        <v>1184</v>
      </c>
      <c r="I96" s="5" t="s">
        <v>822</v>
      </c>
      <c r="J96" s="1">
        <v>41799</v>
      </c>
      <c r="K96" s="8">
        <v>62021366340</v>
      </c>
      <c r="O96" t="s">
        <v>11</v>
      </c>
      <c r="S96" t="s">
        <v>4</v>
      </c>
      <c r="T96" t="s">
        <v>216</v>
      </c>
      <c r="U96" t="s">
        <v>204</v>
      </c>
      <c r="V96">
        <v>9</v>
      </c>
      <c r="W96" t="s">
        <v>217</v>
      </c>
      <c r="X96" t="s">
        <v>521</v>
      </c>
      <c r="Y96" t="s">
        <v>8</v>
      </c>
      <c r="Z96" s="5" t="s">
        <v>941</v>
      </c>
      <c r="AA96" s="5" t="s">
        <v>1246</v>
      </c>
      <c r="AB96" t="s">
        <v>9</v>
      </c>
      <c r="AC96" s="2">
        <v>45568.477083333331</v>
      </c>
      <c r="AD96" s="2">
        <v>45568.477083333331</v>
      </c>
    </row>
    <row r="97" spans="1:30" x14ac:dyDescent="0.25">
      <c r="A97" t="s">
        <v>519</v>
      </c>
      <c r="B97" t="s">
        <v>1389</v>
      </c>
      <c r="C97" t="s">
        <v>522</v>
      </c>
      <c r="D97" t="s">
        <v>523</v>
      </c>
      <c r="E97" t="s">
        <v>10</v>
      </c>
      <c r="F97" t="s">
        <v>1184</v>
      </c>
      <c r="I97" s="5" t="s">
        <v>685</v>
      </c>
      <c r="J97" s="1">
        <v>42406</v>
      </c>
      <c r="K97" s="8">
        <v>63100515390</v>
      </c>
      <c r="O97" t="s">
        <v>2</v>
      </c>
      <c r="S97" t="s">
        <v>4</v>
      </c>
      <c r="T97" t="s">
        <v>218</v>
      </c>
      <c r="U97" t="s">
        <v>219</v>
      </c>
      <c r="V97">
        <v>20</v>
      </c>
      <c r="W97" t="s">
        <v>31</v>
      </c>
      <c r="X97" t="s">
        <v>521</v>
      </c>
      <c r="Y97" t="s">
        <v>8</v>
      </c>
      <c r="Z97" s="5" t="s">
        <v>1247</v>
      </c>
      <c r="AA97" s="5" t="s">
        <v>1081</v>
      </c>
      <c r="AB97" t="s">
        <v>9</v>
      </c>
      <c r="AC97" s="2">
        <v>45568.356249999997</v>
      </c>
      <c r="AD97" s="2">
        <v>45568.356249999997</v>
      </c>
    </row>
    <row r="98" spans="1:30" x14ac:dyDescent="0.25">
      <c r="A98" t="s">
        <v>519</v>
      </c>
      <c r="B98" t="s">
        <v>1389</v>
      </c>
      <c r="C98" t="s">
        <v>522</v>
      </c>
      <c r="D98" t="s">
        <v>523</v>
      </c>
      <c r="E98" t="s">
        <v>10</v>
      </c>
      <c r="F98" t="s">
        <v>1184</v>
      </c>
      <c r="I98" s="5" t="s">
        <v>686</v>
      </c>
      <c r="J98" s="1">
        <v>42260</v>
      </c>
      <c r="K98" s="8">
        <v>62388113318</v>
      </c>
      <c r="O98" t="s">
        <v>2</v>
      </c>
      <c r="S98" t="s">
        <v>4</v>
      </c>
      <c r="T98" t="s">
        <v>117</v>
      </c>
      <c r="U98" t="s">
        <v>220</v>
      </c>
      <c r="V98">
        <v>30</v>
      </c>
      <c r="W98" t="s">
        <v>40</v>
      </c>
      <c r="X98" t="s">
        <v>521</v>
      </c>
      <c r="Y98" t="s">
        <v>8</v>
      </c>
      <c r="Z98" s="5" t="s">
        <v>1248</v>
      </c>
      <c r="AA98" s="5" t="s">
        <v>1082</v>
      </c>
      <c r="AB98" t="s">
        <v>9</v>
      </c>
      <c r="AC98" s="2">
        <v>45568.359722222223</v>
      </c>
      <c r="AD98" s="2">
        <v>45568.359722222223</v>
      </c>
    </row>
    <row r="99" spans="1:30" x14ac:dyDescent="0.25">
      <c r="A99" t="s">
        <v>519</v>
      </c>
      <c r="B99" t="s">
        <v>1388</v>
      </c>
      <c r="C99" t="s">
        <v>520</v>
      </c>
      <c r="D99" t="s">
        <v>523</v>
      </c>
      <c r="E99" t="s">
        <v>1391</v>
      </c>
      <c r="F99" t="s">
        <v>1184</v>
      </c>
      <c r="H99">
        <v>11281948</v>
      </c>
      <c r="I99" s="5" t="s">
        <v>687</v>
      </c>
      <c r="J99" s="1">
        <v>39847</v>
      </c>
      <c r="K99" s="8">
        <v>62084971322</v>
      </c>
      <c r="L99" s="7">
        <v>551292820153</v>
      </c>
      <c r="M99" t="s">
        <v>1</v>
      </c>
      <c r="N99" s="1">
        <v>42026</v>
      </c>
      <c r="O99" t="s">
        <v>11</v>
      </c>
      <c r="Q99" t="s">
        <v>169</v>
      </c>
      <c r="S99" t="s">
        <v>20</v>
      </c>
      <c r="T99" t="s">
        <v>170</v>
      </c>
      <c r="U99" t="s">
        <v>6</v>
      </c>
      <c r="V99">
        <v>7</v>
      </c>
      <c r="W99" t="s">
        <v>45</v>
      </c>
      <c r="X99" t="s">
        <v>1387</v>
      </c>
      <c r="Y99" t="s">
        <v>8</v>
      </c>
      <c r="Z99" s="5" t="s">
        <v>930</v>
      </c>
      <c r="AA99" s="5" t="s">
        <v>1067</v>
      </c>
      <c r="AB99" t="s">
        <v>9</v>
      </c>
      <c r="AC99" s="2">
        <v>45568.688888888886</v>
      </c>
      <c r="AD99" s="2">
        <v>45569.590277777781</v>
      </c>
    </row>
    <row r="100" spans="1:30" x14ac:dyDescent="0.25">
      <c r="A100" t="s">
        <v>519</v>
      </c>
      <c r="B100" t="s">
        <v>1388</v>
      </c>
      <c r="C100" t="s">
        <v>520</v>
      </c>
      <c r="D100" t="s">
        <v>523</v>
      </c>
      <c r="E100" t="s">
        <v>1391</v>
      </c>
      <c r="F100" t="s">
        <v>1390</v>
      </c>
      <c r="I100" s="5" t="s">
        <v>688</v>
      </c>
      <c r="J100" s="1">
        <v>40028</v>
      </c>
      <c r="K100" s="8">
        <v>62084603366</v>
      </c>
      <c r="L100" s="7">
        <v>551235620159</v>
      </c>
      <c r="M100" t="s">
        <v>1</v>
      </c>
      <c r="N100" s="1">
        <v>42030</v>
      </c>
      <c r="O100" t="s">
        <v>2</v>
      </c>
      <c r="Q100" t="s">
        <v>221</v>
      </c>
      <c r="S100" t="s">
        <v>20</v>
      </c>
      <c r="T100" t="s">
        <v>222</v>
      </c>
      <c r="U100" t="s">
        <v>30</v>
      </c>
      <c r="V100">
        <v>14</v>
      </c>
      <c r="W100" t="s">
        <v>223</v>
      </c>
      <c r="X100" t="s">
        <v>1387</v>
      </c>
      <c r="Y100" t="s">
        <v>8</v>
      </c>
      <c r="Z100" s="5" t="s">
        <v>942</v>
      </c>
      <c r="AA100" s="5" t="s">
        <v>1249</v>
      </c>
      <c r="AB100" t="s">
        <v>9</v>
      </c>
      <c r="AC100" s="2">
        <v>45574.689583333333</v>
      </c>
      <c r="AD100" s="2">
        <v>45574.689583333333</v>
      </c>
    </row>
    <row r="101" spans="1:30" x14ac:dyDescent="0.25">
      <c r="A101" t="s">
        <v>519</v>
      </c>
      <c r="B101" t="s">
        <v>1389</v>
      </c>
      <c r="C101" t="s">
        <v>522</v>
      </c>
      <c r="D101" t="s">
        <v>523</v>
      </c>
      <c r="E101" t="s">
        <v>10</v>
      </c>
      <c r="F101" t="s">
        <v>1184</v>
      </c>
      <c r="I101" s="5" t="s">
        <v>689</v>
      </c>
      <c r="J101" s="1">
        <v>42448</v>
      </c>
      <c r="K101" s="8">
        <v>8462807360</v>
      </c>
      <c r="O101" t="s">
        <v>11</v>
      </c>
      <c r="S101" t="s">
        <v>4</v>
      </c>
      <c r="T101" t="s">
        <v>94</v>
      </c>
      <c r="U101" t="s">
        <v>30</v>
      </c>
      <c r="V101">
        <v>38</v>
      </c>
      <c r="W101" t="s">
        <v>7</v>
      </c>
      <c r="X101" t="s">
        <v>521</v>
      </c>
      <c r="Y101" t="s">
        <v>8</v>
      </c>
      <c r="Z101" s="5" t="s">
        <v>943</v>
      </c>
      <c r="AA101" s="5" t="s">
        <v>1250</v>
      </c>
      <c r="AB101" t="s">
        <v>9</v>
      </c>
      <c r="AC101" s="2">
        <v>45568.361111111109</v>
      </c>
      <c r="AD101" s="2">
        <v>45568.361111111109</v>
      </c>
    </row>
    <row r="102" spans="1:30" x14ac:dyDescent="0.25">
      <c r="A102" t="s">
        <v>519</v>
      </c>
      <c r="B102" t="s">
        <v>1388</v>
      </c>
      <c r="C102" t="s">
        <v>520</v>
      </c>
      <c r="D102" t="s">
        <v>523</v>
      </c>
      <c r="E102" t="s">
        <v>27</v>
      </c>
      <c r="F102" t="s">
        <v>1184</v>
      </c>
      <c r="I102" s="5" t="s">
        <v>823</v>
      </c>
      <c r="J102" s="1">
        <v>40855</v>
      </c>
      <c r="K102" s="8">
        <v>63027792350</v>
      </c>
      <c r="L102" s="7">
        <v>657517120181</v>
      </c>
      <c r="M102" t="s">
        <v>1</v>
      </c>
      <c r="N102" s="1">
        <v>43204</v>
      </c>
      <c r="O102" t="s">
        <v>11</v>
      </c>
      <c r="Q102" t="s">
        <v>224</v>
      </c>
      <c r="S102" t="s">
        <v>4</v>
      </c>
      <c r="T102" t="s">
        <v>225</v>
      </c>
      <c r="U102" t="s">
        <v>30</v>
      </c>
      <c r="V102">
        <v>59</v>
      </c>
      <c r="W102" t="s">
        <v>173</v>
      </c>
      <c r="X102" t="s">
        <v>521</v>
      </c>
      <c r="Y102" t="s">
        <v>8</v>
      </c>
      <c r="Z102" s="5" t="s">
        <v>1251</v>
      </c>
      <c r="AA102" s="5" t="s">
        <v>1252</v>
      </c>
      <c r="AB102" t="s">
        <v>9</v>
      </c>
      <c r="AC102" s="2">
        <v>45568.645833333336</v>
      </c>
      <c r="AD102" s="2">
        <v>45568.645833333336</v>
      </c>
    </row>
    <row r="103" spans="1:30" x14ac:dyDescent="0.25">
      <c r="A103" t="s">
        <v>519</v>
      </c>
      <c r="B103" t="s">
        <v>1388</v>
      </c>
      <c r="C103" t="s">
        <v>520</v>
      </c>
      <c r="D103" t="s">
        <v>523</v>
      </c>
      <c r="E103" t="s">
        <v>1391</v>
      </c>
      <c r="F103" t="s">
        <v>1390</v>
      </c>
      <c r="I103" s="5" t="s">
        <v>690</v>
      </c>
      <c r="J103" s="1">
        <v>40114</v>
      </c>
      <c r="K103" s="8">
        <v>8251701333</v>
      </c>
      <c r="L103" s="7">
        <v>576175620152</v>
      </c>
      <c r="M103" t="s">
        <v>1</v>
      </c>
      <c r="N103" s="1">
        <v>42345</v>
      </c>
      <c r="O103" t="s">
        <v>2</v>
      </c>
      <c r="Q103" t="s">
        <v>226</v>
      </c>
      <c r="S103" t="s">
        <v>20</v>
      </c>
      <c r="T103" t="s">
        <v>227</v>
      </c>
      <c r="U103" t="s">
        <v>30</v>
      </c>
      <c r="V103">
        <v>415</v>
      </c>
      <c r="W103" t="s">
        <v>228</v>
      </c>
      <c r="X103" t="s">
        <v>1387</v>
      </c>
      <c r="Y103" t="s">
        <v>8</v>
      </c>
      <c r="Z103" s="5" t="s">
        <v>944</v>
      </c>
      <c r="AA103" s="5" t="s">
        <v>1083</v>
      </c>
      <c r="AB103" t="s">
        <v>9</v>
      </c>
      <c r="AC103" s="2">
        <v>45574.688194444447</v>
      </c>
      <c r="AD103" s="2">
        <v>45574.688194444447</v>
      </c>
    </row>
    <row r="104" spans="1:30" x14ac:dyDescent="0.25">
      <c r="A104" t="s">
        <v>519</v>
      </c>
      <c r="B104" t="s">
        <v>1389</v>
      </c>
      <c r="C104" t="s">
        <v>522</v>
      </c>
      <c r="D104" t="s">
        <v>523</v>
      </c>
      <c r="E104" t="s">
        <v>10</v>
      </c>
      <c r="F104" t="s">
        <v>1184</v>
      </c>
      <c r="I104" s="5" t="s">
        <v>691</v>
      </c>
      <c r="J104" s="1">
        <v>42368</v>
      </c>
      <c r="K104" s="8">
        <v>8904891302</v>
      </c>
      <c r="O104" t="s">
        <v>2</v>
      </c>
      <c r="S104" t="s">
        <v>4</v>
      </c>
      <c r="T104" t="s">
        <v>229</v>
      </c>
      <c r="U104" t="s">
        <v>211</v>
      </c>
      <c r="V104">
        <v>2</v>
      </c>
      <c r="W104" t="s">
        <v>541</v>
      </c>
      <c r="X104" t="s">
        <v>521</v>
      </c>
      <c r="Y104" t="s">
        <v>8</v>
      </c>
      <c r="Z104" s="5" t="s">
        <v>1170</v>
      </c>
      <c r="AA104" s="5" t="s">
        <v>1084</v>
      </c>
      <c r="AB104" t="s">
        <v>9</v>
      </c>
      <c r="AC104" s="2">
        <v>45568.364583333336</v>
      </c>
      <c r="AD104" s="2">
        <v>45568.364583333336</v>
      </c>
    </row>
    <row r="105" spans="1:30" x14ac:dyDescent="0.25">
      <c r="A105" t="s">
        <v>519</v>
      </c>
      <c r="B105" t="s">
        <v>1389</v>
      </c>
      <c r="C105" t="s">
        <v>522</v>
      </c>
      <c r="D105" t="s">
        <v>523</v>
      </c>
      <c r="E105" t="s">
        <v>23</v>
      </c>
      <c r="F105" t="s">
        <v>1184</v>
      </c>
      <c r="I105" s="5" t="s">
        <v>824</v>
      </c>
      <c r="J105" s="1">
        <v>41402</v>
      </c>
      <c r="K105" s="8">
        <v>61816901318</v>
      </c>
      <c r="O105" t="s">
        <v>2</v>
      </c>
      <c r="S105" t="s">
        <v>4</v>
      </c>
      <c r="T105" t="s">
        <v>13</v>
      </c>
      <c r="U105" t="s">
        <v>162</v>
      </c>
      <c r="V105">
        <v>5</v>
      </c>
      <c r="W105" t="s">
        <v>15</v>
      </c>
      <c r="X105" t="s">
        <v>521</v>
      </c>
      <c r="Y105" t="s">
        <v>8</v>
      </c>
      <c r="Z105" s="5" t="s">
        <v>1253</v>
      </c>
      <c r="AA105" s="5" t="s">
        <v>1254</v>
      </c>
      <c r="AB105" t="s">
        <v>9</v>
      </c>
      <c r="AC105" s="2">
        <v>45573.439583333333</v>
      </c>
      <c r="AD105" s="2">
        <v>45573.439583333333</v>
      </c>
    </row>
    <row r="106" spans="1:30" x14ac:dyDescent="0.25">
      <c r="A106" t="s">
        <v>519</v>
      </c>
      <c r="B106" t="s">
        <v>1388</v>
      </c>
      <c r="C106" t="s">
        <v>520</v>
      </c>
      <c r="D106" t="s">
        <v>523</v>
      </c>
      <c r="E106" t="s">
        <v>0</v>
      </c>
      <c r="F106" t="s">
        <v>1184</v>
      </c>
      <c r="I106" s="5" t="s">
        <v>825</v>
      </c>
      <c r="J106" s="1">
        <v>41005</v>
      </c>
      <c r="K106" s="8">
        <v>62415462365</v>
      </c>
      <c r="L106" s="7">
        <v>587774720163</v>
      </c>
      <c r="M106" t="s">
        <v>1</v>
      </c>
      <c r="N106" s="1">
        <v>42489</v>
      </c>
      <c r="O106" t="s">
        <v>2</v>
      </c>
      <c r="S106" t="s">
        <v>4</v>
      </c>
      <c r="T106" t="s">
        <v>230</v>
      </c>
      <c r="U106" t="s">
        <v>30</v>
      </c>
      <c r="V106">
        <v>10</v>
      </c>
      <c r="W106" t="s">
        <v>231</v>
      </c>
      <c r="X106" t="s">
        <v>521</v>
      </c>
      <c r="Y106" t="s">
        <v>8</v>
      </c>
      <c r="Z106" s="5" t="s">
        <v>1255</v>
      </c>
      <c r="AA106" s="5" t="s">
        <v>1256</v>
      </c>
      <c r="AB106" t="s">
        <v>9</v>
      </c>
      <c r="AC106" s="2">
        <v>45566.626388888886</v>
      </c>
      <c r="AD106" s="2">
        <v>45566.626388888886</v>
      </c>
    </row>
    <row r="107" spans="1:30" x14ac:dyDescent="0.25">
      <c r="A107" t="s">
        <v>519</v>
      </c>
      <c r="B107" t="s">
        <v>1388</v>
      </c>
      <c r="C107" t="s">
        <v>520</v>
      </c>
      <c r="D107" t="s">
        <v>523</v>
      </c>
      <c r="E107" t="s">
        <v>0</v>
      </c>
      <c r="F107" t="s">
        <v>1184</v>
      </c>
      <c r="I107" s="5" t="s">
        <v>826</v>
      </c>
      <c r="J107" s="1">
        <v>41356</v>
      </c>
      <c r="K107" s="8">
        <v>62055696394</v>
      </c>
      <c r="L107" s="7">
        <v>547698320147</v>
      </c>
      <c r="M107" t="s">
        <v>1</v>
      </c>
      <c r="N107" s="1">
        <v>41984</v>
      </c>
      <c r="O107" t="s">
        <v>11</v>
      </c>
      <c r="Q107" t="s">
        <v>232</v>
      </c>
      <c r="S107" t="s">
        <v>4</v>
      </c>
      <c r="T107" t="s">
        <v>233</v>
      </c>
      <c r="U107" t="s">
        <v>30</v>
      </c>
      <c r="V107">
        <v>10</v>
      </c>
      <c r="W107" t="s">
        <v>37</v>
      </c>
      <c r="X107" t="s">
        <v>521</v>
      </c>
      <c r="Y107" t="s">
        <v>8</v>
      </c>
      <c r="Z107" s="5" t="s">
        <v>1171</v>
      </c>
      <c r="AA107" s="5" t="s">
        <v>1257</v>
      </c>
      <c r="AB107" t="s">
        <v>9</v>
      </c>
      <c r="AC107" s="2">
        <v>45566.621527777781</v>
      </c>
      <c r="AD107" s="2">
        <v>45566.621527777781</v>
      </c>
    </row>
    <row r="108" spans="1:30" x14ac:dyDescent="0.25">
      <c r="A108" t="s">
        <v>519</v>
      </c>
      <c r="B108" t="s">
        <v>1389</v>
      </c>
      <c r="C108" t="s">
        <v>522</v>
      </c>
      <c r="D108" t="s">
        <v>523</v>
      </c>
      <c r="E108" t="s">
        <v>46</v>
      </c>
      <c r="F108" t="s">
        <v>1184</v>
      </c>
      <c r="I108" s="5" t="s">
        <v>827</v>
      </c>
      <c r="J108" s="1">
        <v>42013</v>
      </c>
      <c r="K108" s="8">
        <v>62971715302</v>
      </c>
      <c r="O108" t="s">
        <v>11</v>
      </c>
      <c r="S108" t="s">
        <v>4</v>
      </c>
      <c r="T108" t="s">
        <v>178</v>
      </c>
      <c r="U108" t="s">
        <v>134</v>
      </c>
      <c r="V108">
        <v>10</v>
      </c>
      <c r="W108" t="s">
        <v>31</v>
      </c>
      <c r="X108" t="s">
        <v>521</v>
      </c>
      <c r="Y108" t="s">
        <v>8</v>
      </c>
      <c r="Z108" s="5" t="s">
        <v>1258</v>
      </c>
      <c r="AA108" s="5" t="s">
        <v>1259</v>
      </c>
      <c r="AB108" t="s">
        <v>9</v>
      </c>
      <c r="AC108" s="2">
        <v>45569.356944444444</v>
      </c>
      <c r="AD108" s="2">
        <v>45569.356944444444</v>
      </c>
    </row>
    <row r="109" spans="1:30" x14ac:dyDescent="0.25">
      <c r="A109" t="s">
        <v>519</v>
      </c>
      <c r="B109" t="s">
        <v>1388</v>
      </c>
      <c r="C109" t="s">
        <v>520</v>
      </c>
      <c r="D109" t="s">
        <v>523</v>
      </c>
      <c r="E109" t="s">
        <v>1391</v>
      </c>
      <c r="F109" t="s">
        <v>106</v>
      </c>
      <c r="I109" s="5" t="s">
        <v>828</v>
      </c>
      <c r="J109" s="1">
        <v>40101</v>
      </c>
      <c r="K109" s="8">
        <v>61325567370</v>
      </c>
      <c r="L109" s="7">
        <v>473382520136</v>
      </c>
      <c r="M109" t="s">
        <v>1</v>
      </c>
      <c r="N109" s="1">
        <v>41305</v>
      </c>
      <c r="O109" t="s">
        <v>11</v>
      </c>
      <c r="Q109" t="s">
        <v>234</v>
      </c>
      <c r="S109" t="s">
        <v>4</v>
      </c>
      <c r="T109" t="s">
        <v>235</v>
      </c>
      <c r="U109" t="s">
        <v>30</v>
      </c>
      <c r="V109">
        <v>30</v>
      </c>
      <c r="W109" t="s">
        <v>138</v>
      </c>
      <c r="X109" t="s">
        <v>521</v>
      </c>
      <c r="Y109" t="s">
        <v>8</v>
      </c>
      <c r="Z109" s="5" t="s">
        <v>945</v>
      </c>
      <c r="AA109" s="5" t="s">
        <v>1260</v>
      </c>
      <c r="AB109" t="s">
        <v>9</v>
      </c>
      <c r="AC109" s="2">
        <v>45574.569444444445</v>
      </c>
      <c r="AD109" s="2">
        <v>45574.569444444445</v>
      </c>
    </row>
    <row r="110" spans="1:30" x14ac:dyDescent="0.25">
      <c r="A110" t="s">
        <v>519</v>
      </c>
      <c r="B110" t="s">
        <v>1388</v>
      </c>
      <c r="C110" t="s">
        <v>520</v>
      </c>
      <c r="D110" t="s">
        <v>523</v>
      </c>
      <c r="E110" t="s">
        <v>27</v>
      </c>
      <c r="F110" t="s">
        <v>1184</v>
      </c>
      <c r="I110" s="5" t="s">
        <v>829</v>
      </c>
      <c r="J110" s="1">
        <v>40817</v>
      </c>
      <c r="K110" s="8">
        <v>8192439305</v>
      </c>
      <c r="L110" s="7">
        <v>612211520170</v>
      </c>
      <c r="M110" t="s">
        <v>1</v>
      </c>
      <c r="N110" s="1">
        <v>42765</v>
      </c>
      <c r="O110" t="s">
        <v>11</v>
      </c>
      <c r="Q110" t="s">
        <v>236</v>
      </c>
      <c r="S110" t="s">
        <v>4</v>
      </c>
      <c r="T110" t="s">
        <v>237</v>
      </c>
      <c r="U110" t="s">
        <v>30</v>
      </c>
      <c r="V110">
        <v>1</v>
      </c>
      <c r="W110" t="s">
        <v>238</v>
      </c>
      <c r="X110" t="s">
        <v>521</v>
      </c>
      <c r="Y110" t="s">
        <v>8</v>
      </c>
      <c r="Z110" s="5" t="s">
        <v>1261</v>
      </c>
      <c r="AA110" s="5" t="s">
        <v>1085</v>
      </c>
      <c r="AB110" t="s">
        <v>9</v>
      </c>
      <c r="AC110" s="2">
        <v>45568.647916666669</v>
      </c>
      <c r="AD110" s="2">
        <v>45568.647916666669</v>
      </c>
    </row>
    <row r="111" spans="1:30" x14ac:dyDescent="0.25">
      <c r="A111" t="s">
        <v>519</v>
      </c>
      <c r="B111" t="s">
        <v>1388</v>
      </c>
      <c r="C111" t="s">
        <v>520</v>
      </c>
      <c r="D111" t="s">
        <v>523</v>
      </c>
      <c r="E111" t="s">
        <v>16</v>
      </c>
      <c r="F111" t="s">
        <v>1184</v>
      </c>
      <c r="H111">
        <v>11013360</v>
      </c>
      <c r="I111" s="5" t="s">
        <v>830</v>
      </c>
      <c r="J111" s="1">
        <v>40486</v>
      </c>
      <c r="K111" s="8">
        <v>62049735332</v>
      </c>
      <c r="O111" t="s">
        <v>11</v>
      </c>
      <c r="S111" t="s">
        <v>4</v>
      </c>
      <c r="T111" t="s">
        <v>239</v>
      </c>
      <c r="U111" t="s">
        <v>96</v>
      </c>
      <c r="V111">
        <v>1</v>
      </c>
      <c r="W111" t="s">
        <v>53</v>
      </c>
      <c r="X111" t="s">
        <v>521</v>
      </c>
      <c r="Y111" t="s">
        <v>8</v>
      </c>
      <c r="Z111" s="5" t="s">
        <v>1262</v>
      </c>
      <c r="AA111" s="5" t="s">
        <v>1263</v>
      </c>
      <c r="AB111" t="s">
        <v>9</v>
      </c>
      <c r="AC111" s="2">
        <v>45581.348611111112</v>
      </c>
      <c r="AD111" s="2">
        <v>45581.39166666667</v>
      </c>
    </row>
    <row r="112" spans="1:30" x14ac:dyDescent="0.25">
      <c r="A112" t="s">
        <v>519</v>
      </c>
      <c r="B112" t="s">
        <v>1388</v>
      </c>
      <c r="C112" t="s">
        <v>520</v>
      </c>
      <c r="D112" t="s">
        <v>523</v>
      </c>
      <c r="E112" t="s">
        <v>27</v>
      </c>
      <c r="F112" t="s">
        <v>1184</v>
      </c>
      <c r="I112" s="5" t="s">
        <v>692</v>
      </c>
      <c r="J112" s="1">
        <v>40935</v>
      </c>
      <c r="K112" s="8">
        <v>61948766388</v>
      </c>
      <c r="L112" s="7">
        <v>535702820143</v>
      </c>
      <c r="M112" t="s">
        <v>1</v>
      </c>
      <c r="N112" s="1">
        <v>41865</v>
      </c>
      <c r="O112" t="s">
        <v>2</v>
      </c>
      <c r="Q112" t="s">
        <v>240</v>
      </c>
      <c r="S112" t="s">
        <v>4</v>
      </c>
      <c r="T112" t="s">
        <v>241</v>
      </c>
      <c r="U112" t="s">
        <v>30</v>
      </c>
      <c r="V112">
        <v>8</v>
      </c>
      <c r="W112" t="s">
        <v>31</v>
      </c>
      <c r="X112" t="s">
        <v>521</v>
      </c>
      <c r="Y112" t="s">
        <v>8</v>
      </c>
      <c r="Z112" s="5" t="s">
        <v>946</v>
      </c>
      <c r="AA112" t="s">
        <v>1184</v>
      </c>
      <c r="AB112" t="s">
        <v>9</v>
      </c>
      <c r="AC112" s="2">
        <v>45568.636111111111</v>
      </c>
      <c r="AD112" s="2">
        <v>45568.636111111111</v>
      </c>
    </row>
    <row r="113" spans="1:30" x14ac:dyDescent="0.25">
      <c r="A113" t="s">
        <v>519</v>
      </c>
      <c r="B113" t="s">
        <v>1389</v>
      </c>
      <c r="C113" t="s">
        <v>522</v>
      </c>
      <c r="D113" t="s">
        <v>523</v>
      </c>
      <c r="E113" t="s">
        <v>46</v>
      </c>
      <c r="F113" t="s">
        <v>1184</v>
      </c>
      <c r="I113" s="5" t="s">
        <v>693</v>
      </c>
      <c r="J113" s="1">
        <v>42011</v>
      </c>
      <c r="K113" s="8">
        <v>62707745359</v>
      </c>
      <c r="O113" t="s">
        <v>11</v>
      </c>
      <c r="S113" t="s">
        <v>4</v>
      </c>
      <c r="T113" t="s">
        <v>242</v>
      </c>
      <c r="U113" t="s">
        <v>30</v>
      </c>
      <c r="V113">
        <v>10</v>
      </c>
      <c r="W113" t="s">
        <v>243</v>
      </c>
      <c r="X113" t="s">
        <v>521</v>
      </c>
      <c r="Y113" t="s">
        <v>8</v>
      </c>
      <c r="Z113" s="5" t="s">
        <v>947</v>
      </c>
      <c r="AA113" s="5" t="s">
        <v>1264</v>
      </c>
      <c r="AB113" t="s">
        <v>9</v>
      </c>
      <c r="AC113" s="2">
        <v>45569.359027777777</v>
      </c>
      <c r="AD113" s="2">
        <v>45569.359027777777</v>
      </c>
    </row>
    <row r="114" spans="1:30" x14ac:dyDescent="0.25">
      <c r="A114" t="s">
        <v>519</v>
      </c>
      <c r="B114" t="s">
        <v>1388</v>
      </c>
      <c r="C114" t="s">
        <v>520</v>
      </c>
      <c r="D114" t="s">
        <v>523</v>
      </c>
      <c r="E114" t="s">
        <v>0</v>
      </c>
      <c r="F114" t="s">
        <v>1184</v>
      </c>
      <c r="I114" s="5" t="s">
        <v>694</v>
      </c>
      <c r="J114" s="1">
        <v>41240</v>
      </c>
      <c r="K114" s="8">
        <v>62566877360</v>
      </c>
      <c r="L114" s="7">
        <v>607110220167</v>
      </c>
      <c r="M114" t="s">
        <v>1</v>
      </c>
      <c r="N114" s="1">
        <v>42716</v>
      </c>
      <c r="O114" t="s">
        <v>2</v>
      </c>
      <c r="Q114" t="s">
        <v>244</v>
      </c>
      <c r="S114" t="s">
        <v>4</v>
      </c>
      <c r="T114" t="s">
        <v>245</v>
      </c>
      <c r="U114" t="s">
        <v>30</v>
      </c>
      <c r="V114">
        <v>18</v>
      </c>
      <c r="W114" t="s">
        <v>40</v>
      </c>
      <c r="X114" t="s">
        <v>521</v>
      </c>
      <c r="Y114" t="s">
        <v>8</v>
      </c>
      <c r="Z114" s="5" t="s">
        <v>948</v>
      </c>
      <c r="AA114" s="5" t="s">
        <v>1086</v>
      </c>
      <c r="AB114" t="s">
        <v>9</v>
      </c>
      <c r="AC114" s="2">
        <v>45566.680555555555</v>
      </c>
      <c r="AD114" s="2">
        <v>45566.680555555555</v>
      </c>
    </row>
    <row r="115" spans="1:30" x14ac:dyDescent="0.25">
      <c r="A115" t="s">
        <v>519</v>
      </c>
      <c r="B115" t="s">
        <v>1388</v>
      </c>
      <c r="C115" t="s">
        <v>520</v>
      </c>
      <c r="D115" t="s">
        <v>523</v>
      </c>
      <c r="E115" t="s">
        <v>0</v>
      </c>
      <c r="F115" t="s">
        <v>1184</v>
      </c>
      <c r="I115" s="5" t="s">
        <v>831</v>
      </c>
      <c r="J115" s="1">
        <v>41205</v>
      </c>
      <c r="K115" s="8">
        <v>63325743307</v>
      </c>
      <c r="L115" s="7">
        <v>691281320195</v>
      </c>
      <c r="M115" t="s">
        <v>1</v>
      </c>
      <c r="N115" s="1">
        <v>41205</v>
      </c>
      <c r="O115" t="s">
        <v>11</v>
      </c>
      <c r="Q115" t="s">
        <v>246</v>
      </c>
      <c r="S115" t="s">
        <v>4</v>
      </c>
      <c r="T115" t="s">
        <v>247</v>
      </c>
      <c r="U115" t="s">
        <v>30</v>
      </c>
      <c r="V115">
        <v>3</v>
      </c>
      <c r="W115" t="s">
        <v>537</v>
      </c>
      <c r="X115" t="s">
        <v>521</v>
      </c>
      <c r="Y115" t="s">
        <v>8</v>
      </c>
      <c r="Z115" s="5" t="s">
        <v>1265</v>
      </c>
      <c r="AA115" t="s">
        <v>1184</v>
      </c>
      <c r="AB115" t="s">
        <v>9</v>
      </c>
      <c r="AC115" s="2">
        <v>45566.623611111114</v>
      </c>
      <c r="AD115" s="2">
        <v>45566.623611111114</v>
      </c>
    </row>
    <row r="116" spans="1:30" x14ac:dyDescent="0.25">
      <c r="A116" t="s">
        <v>519</v>
      </c>
      <c r="B116" t="s">
        <v>1389</v>
      </c>
      <c r="C116" t="s">
        <v>522</v>
      </c>
      <c r="D116" t="s">
        <v>523</v>
      </c>
      <c r="E116" t="s">
        <v>23</v>
      </c>
      <c r="F116" t="s">
        <v>1184</v>
      </c>
      <c r="I116" s="5" t="s">
        <v>832</v>
      </c>
      <c r="J116" s="1">
        <v>41429</v>
      </c>
      <c r="K116" s="8">
        <v>62561671399</v>
      </c>
      <c r="O116" t="s">
        <v>11</v>
      </c>
      <c r="S116" t="s">
        <v>4</v>
      </c>
      <c r="T116" t="s">
        <v>248</v>
      </c>
      <c r="U116" t="s">
        <v>249</v>
      </c>
      <c r="V116">
        <v>18</v>
      </c>
      <c r="W116" t="s">
        <v>31</v>
      </c>
      <c r="X116" t="s">
        <v>521</v>
      </c>
      <c r="Y116" t="s">
        <v>8</v>
      </c>
      <c r="Z116" s="5" t="s">
        <v>1266</v>
      </c>
      <c r="AA116" s="5" t="s">
        <v>1267</v>
      </c>
      <c r="AB116" t="s">
        <v>9</v>
      </c>
      <c r="AC116" s="2">
        <v>45573.445833333331</v>
      </c>
      <c r="AD116" s="2">
        <v>45573.445833333331</v>
      </c>
    </row>
    <row r="117" spans="1:30" x14ac:dyDescent="0.25">
      <c r="A117" t="s">
        <v>519</v>
      </c>
      <c r="B117" t="s">
        <v>1388</v>
      </c>
      <c r="C117" t="s">
        <v>520</v>
      </c>
      <c r="D117" t="s">
        <v>523</v>
      </c>
      <c r="E117" t="s">
        <v>0</v>
      </c>
      <c r="F117" t="s">
        <v>1184</v>
      </c>
      <c r="I117" s="5" t="s">
        <v>695</v>
      </c>
      <c r="J117" s="1">
        <v>41356</v>
      </c>
      <c r="K117" s="8">
        <v>62684657335</v>
      </c>
      <c r="L117" s="7">
        <v>620745520170</v>
      </c>
      <c r="M117" t="s">
        <v>1</v>
      </c>
      <c r="N117" s="1">
        <v>42867</v>
      </c>
      <c r="O117" t="s">
        <v>11</v>
      </c>
      <c r="Q117" t="s">
        <v>250</v>
      </c>
      <c r="S117" t="s">
        <v>4</v>
      </c>
      <c r="T117" t="s">
        <v>251</v>
      </c>
      <c r="U117" t="s">
        <v>30</v>
      </c>
      <c r="V117">
        <v>76</v>
      </c>
      <c r="W117" t="s">
        <v>252</v>
      </c>
      <c r="X117" t="s">
        <v>521</v>
      </c>
      <c r="Y117" t="s">
        <v>8</v>
      </c>
      <c r="Z117" s="5" t="s">
        <v>949</v>
      </c>
      <c r="AA117" t="s">
        <v>1184</v>
      </c>
      <c r="AB117" t="s">
        <v>9</v>
      </c>
      <c r="AC117" s="2">
        <v>45566.62777777778</v>
      </c>
      <c r="AD117" s="2">
        <v>45566.62777777778</v>
      </c>
    </row>
    <row r="118" spans="1:30" x14ac:dyDescent="0.25">
      <c r="A118" t="s">
        <v>519</v>
      </c>
      <c r="B118" t="s">
        <v>1388</v>
      </c>
      <c r="C118" t="s">
        <v>520</v>
      </c>
      <c r="D118" t="s">
        <v>523</v>
      </c>
      <c r="E118" t="s">
        <v>16</v>
      </c>
      <c r="F118" t="s">
        <v>1184</v>
      </c>
      <c r="H118">
        <v>11281949</v>
      </c>
      <c r="I118" s="5" t="s">
        <v>696</v>
      </c>
      <c r="J118" s="1">
        <v>40604</v>
      </c>
      <c r="K118" s="8">
        <v>62084978335</v>
      </c>
      <c r="L118" s="7">
        <v>551291520156</v>
      </c>
      <c r="M118" t="s">
        <v>1</v>
      </c>
      <c r="N118" s="1">
        <v>42026</v>
      </c>
      <c r="O118" t="s">
        <v>11</v>
      </c>
      <c r="Q118" t="s">
        <v>169</v>
      </c>
      <c r="S118" t="s">
        <v>20</v>
      </c>
      <c r="T118" t="s">
        <v>253</v>
      </c>
      <c r="U118" t="s">
        <v>254</v>
      </c>
      <c r="V118">
        <v>7</v>
      </c>
      <c r="W118" t="s">
        <v>45</v>
      </c>
      <c r="X118" t="s">
        <v>1387</v>
      </c>
      <c r="Y118" t="s">
        <v>8</v>
      </c>
      <c r="Z118" s="5" t="s">
        <v>930</v>
      </c>
      <c r="AA118" s="5" t="s">
        <v>1067</v>
      </c>
      <c r="AB118" t="s">
        <v>9</v>
      </c>
      <c r="AC118" s="2">
        <v>45568.686805555553</v>
      </c>
      <c r="AD118" s="2">
        <v>45581.337500000001</v>
      </c>
    </row>
    <row r="119" spans="1:30" x14ac:dyDescent="0.25">
      <c r="A119" t="s">
        <v>519</v>
      </c>
      <c r="B119" t="s">
        <v>1389</v>
      </c>
      <c r="C119" t="s">
        <v>522</v>
      </c>
      <c r="D119" t="s">
        <v>523</v>
      </c>
      <c r="E119" t="s">
        <v>102</v>
      </c>
      <c r="F119" t="s">
        <v>1184</v>
      </c>
      <c r="I119" s="5" t="s">
        <v>833</v>
      </c>
      <c r="J119" s="1">
        <v>42891</v>
      </c>
      <c r="K119" s="8">
        <v>63075149306</v>
      </c>
      <c r="O119" t="s">
        <v>2</v>
      </c>
      <c r="P119" t="s">
        <v>255</v>
      </c>
      <c r="S119" t="s">
        <v>4</v>
      </c>
      <c r="T119" t="s">
        <v>178</v>
      </c>
      <c r="U119" t="s">
        <v>30</v>
      </c>
      <c r="V119">
        <v>291</v>
      </c>
      <c r="W119" t="s">
        <v>256</v>
      </c>
      <c r="X119" t="s">
        <v>521</v>
      </c>
      <c r="Y119" t="s">
        <v>8</v>
      </c>
      <c r="Z119" s="5" t="s">
        <v>1268</v>
      </c>
      <c r="AA119" s="5" t="s">
        <v>1269</v>
      </c>
      <c r="AB119" t="s">
        <v>9</v>
      </c>
      <c r="AC119" s="2">
        <v>45567.328472222223</v>
      </c>
      <c r="AD119" s="2">
        <v>45567.334027777775</v>
      </c>
    </row>
    <row r="120" spans="1:30" x14ac:dyDescent="0.25">
      <c r="A120" t="s">
        <v>519</v>
      </c>
      <c r="B120" t="s">
        <v>1389</v>
      </c>
      <c r="C120" t="s">
        <v>522</v>
      </c>
      <c r="D120" t="s">
        <v>523</v>
      </c>
      <c r="E120" t="s">
        <v>18</v>
      </c>
      <c r="F120" t="s">
        <v>1184</v>
      </c>
      <c r="I120" s="5" t="s">
        <v>834</v>
      </c>
      <c r="J120" s="1">
        <v>42837</v>
      </c>
      <c r="K120" s="8">
        <v>63404042352</v>
      </c>
      <c r="O120" t="s">
        <v>11</v>
      </c>
      <c r="Q120" t="s">
        <v>257</v>
      </c>
      <c r="S120" t="s">
        <v>4</v>
      </c>
      <c r="T120" t="s">
        <v>83</v>
      </c>
      <c r="U120" t="s">
        <v>84</v>
      </c>
      <c r="V120">
        <v>12</v>
      </c>
      <c r="W120" t="s">
        <v>31</v>
      </c>
      <c r="X120" t="s">
        <v>521</v>
      </c>
      <c r="Y120" t="s">
        <v>8</v>
      </c>
      <c r="Z120" s="5" t="s">
        <v>950</v>
      </c>
      <c r="AA120" s="5" t="s">
        <v>1270</v>
      </c>
      <c r="AB120" t="s">
        <v>9</v>
      </c>
      <c r="AC120" s="2">
        <v>45567.385416666664</v>
      </c>
      <c r="AD120" s="2">
        <v>45567.43472222222</v>
      </c>
    </row>
    <row r="121" spans="1:30" x14ac:dyDescent="0.25">
      <c r="A121" t="s">
        <v>519</v>
      </c>
      <c r="B121" t="s">
        <v>1388</v>
      </c>
      <c r="C121" t="s">
        <v>520</v>
      </c>
      <c r="D121" t="s">
        <v>523</v>
      </c>
      <c r="E121" t="s">
        <v>1391</v>
      </c>
      <c r="F121" t="s">
        <v>1390</v>
      </c>
      <c r="I121" s="5" t="s">
        <v>835</v>
      </c>
      <c r="J121" s="1">
        <v>40073</v>
      </c>
      <c r="K121" s="8">
        <v>63366722398</v>
      </c>
      <c r="L121" s="7">
        <v>696311320192</v>
      </c>
      <c r="M121" t="s">
        <v>1</v>
      </c>
      <c r="N121" s="1">
        <v>43552</v>
      </c>
      <c r="O121" t="s">
        <v>11</v>
      </c>
      <c r="S121" t="s">
        <v>4</v>
      </c>
      <c r="T121" t="s">
        <v>258</v>
      </c>
      <c r="U121" t="s">
        <v>30</v>
      </c>
      <c r="W121" t="s">
        <v>31</v>
      </c>
      <c r="X121" t="s">
        <v>521</v>
      </c>
      <c r="Y121" t="s">
        <v>8</v>
      </c>
      <c r="Z121" s="5" t="s">
        <v>1271</v>
      </c>
      <c r="AA121" s="5" t="s">
        <v>1272</v>
      </c>
      <c r="AB121" t="s">
        <v>9</v>
      </c>
      <c r="AC121" s="2">
        <v>45574.685416666667</v>
      </c>
      <c r="AD121" s="2">
        <v>45574.685416666667</v>
      </c>
    </row>
    <row r="122" spans="1:30" x14ac:dyDescent="0.25">
      <c r="A122" t="s">
        <v>519</v>
      </c>
      <c r="B122" t="s">
        <v>1388</v>
      </c>
      <c r="C122" t="s">
        <v>520</v>
      </c>
      <c r="D122" t="s">
        <v>523</v>
      </c>
      <c r="E122" t="s">
        <v>16</v>
      </c>
      <c r="F122" t="s">
        <v>1184</v>
      </c>
      <c r="I122" s="5" t="s">
        <v>697</v>
      </c>
      <c r="J122" s="1">
        <v>40660</v>
      </c>
      <c r="K122" s="8">
        <v>62332505369</v>
      </c>
      <c r="O122" t="s">
        <v>11</v>
      </c>
      <c r="S122" t="s">
        <v>4</v>
      </c>
      <c r="T122" t="s">
        <v>33</v>
      </c>
      <c r="U122" t="s">
        <v>199</v>
      </c>
      <c r="V122">
        <v>26</v>
      </c>
      <c r="W122" t="s">
        <v>31</v>
      </c>
      <c r="X122" t="s">
        <v>521</v>
      </c>
      <c r="Y122" t="s">
        <v>8</v>
      </c>
      <c r="Z122" s="5" t="s">
        <v>951</v>
      </c>
      <c r="AA122" s="5" t="s">
        <v>1087</v>
      </c>
      <c r="AB122" t="s">
        <v>9</v>
      </c>
      <c r="AC122" s="2">
        <v>45582.361111111109</v>
      </c>
      <c r="AD122" s="2">
        <v>45582.361111111109</v>
      </c>
    </row>
    <row r="123" spans="1:30" x14ac:dyDescent="0.25">
      <c r="A123" t="s">
        <v>519</v>
      </c>
      <c r="B123" t="s">
        <v>1388</v>
      </c>
      <c r="C123" t="s">
        <v>520</v>
      </c>
      <c r="D123" t="s">
        <v>523</v>
      </c>
      <c r="E123" t="s">
        <v>0</v>
      </c>
      <c r="F123" t="s">
        <v>1184</v>
      </c>
      <c r="I123" s="5" t="s">
        <v>698</v>
      </c>
      <c r="J123" s="1">
        <v>41338</v>
      </c>
      <c r="K123" s="8">
        <v>62184764302</v>
      </c>
      <c r="L123" s="7">
        <v>561835920153</v>
      </c>
      <c r="M123" t="s">
        <v>1</v>
      </c>
      <c r="N123" s="1">
        <v>42145</v>
      </c>
      <c r="O123" t="s">
        <v>11</v>
      </c>
      <c r="Q123" t="s">
        <v>259</v>
      </c>
      <c r="S123" t="s">
        <v>4</v>
      </c>
      <c r="T123" t="s">
        <v>260</v>
      </c>
      <c r="U123" t="s">
        <v>30</v>
      </c>
      <c r="V123">
        <v>52</v>
      </c>
      <c r="W123" t="s">
        <v>40</v>
      </c>
      <c r="X123" t="s">
        <v>521</v>
      </c>
      <c r="Y123" t="s">
        <v>8</v>
      </c>
      <c r="Z123" s="5" t="s">
        <v>952</v>
      </c>
      <c r="AA123" s="5" t="s">
        <v>1273</v>
      </c>
      <c r="AB123" t="s">
        <v>9</v>
      </c>
      <c r="AC123" s="2">
        <v>45566.629861111112</v>
      </c>
      <c r="AD123" s="2">
        <v>45566.629861111112</v>
      </c>
    </row>
    <row r="124" spans="1:30" x14ac:dyDescent="0.25">
      <c r="A124" t="s">
        <v>519</v>
      </c>
      <c r="B124" t="s">
        <v>1389</v>
      </c>
      <c r="C124" t="s">
        <v>522</v>
      </c>
      <c r="D124" t="s">
        <v>523</v>
      </c>
      <c r="E124" t="s">
        <v>23</v>
      </c>
      <c r="F124" t="s">
        <v>1184</v>
      </c>
      <c r="I124" s="5" t="s">
        <v>699</v>
      </c>
      <c r="J124" s="1">
        <v>41563</v>
      </c>
      <c r="K124" s="8">
        <v>62341500390</v>
      </c>
      <c r="O124" t="s">
        <v>2</v>
      </c>
      <c r="S124" t="s">
        <v>4</v>
      </c>
      <c r="T124" t="s">
        <v>261</v>
      </c>
      <c r="U124" t="s">
        <v>254</v>
      </c>
      <c r="V124">
        <v>23</v>
      </c>
      <c r="W124" t="s">
        <v>262</v>
      </c>
      <c r="X124" t="s">
        <v>521</v>
      </c>
      <c r="Y124" t="s">
        <v>8</v>
      </c>
      <c r="Z124" s="5" t="s">
        <v>953</v>
      </c>
      <c r="AA124" s="5" t="s">
        <v>1088</v>
      </c>
      <c r="AB124" t="s">
        <v>9</v>
      </c>
      <c r="AC124" s="2">
        <v>45573.454861111109</v>
      </c>
      <c r="AD124" s="2">
        <v>45573.454861111109</v>
      </c>
    </row>
    <row r="125" spans="1:30" x14ac:dyDescent="0.25">
      <c r="A125" t="s">
        <v>519</v>
      </c>
      <c r="B125" t="s">
        <v>1388</v>
      </c>
      <c r="C125" t="s">
        <v>520</v>
      </c>
      <c r="D125" t="s">
        <v>523</v>
      </c>
      <c r="E125" t="s">
        <v>0</v>
      </c>
      <c r="F125" t="s">
        <v>1184</v>
      </c>
      <c r="I125" s="5" t="s">
        <v>836</v>
      </c>
      <c r="J125" s="1">
        <v>41110</v>
      </c>
      <c r="K125" s="8">
        <v>8265487339</v>
      </c>
      <c r="L125" s="7">
        <v>577394320155</v>
      </c>
      <c r="M125" t="s">
        <v>1</v>
      </c>
      <c r="N125" s="1">
        <v>43445</v>
      </c>
      <c r="O125" t="s">
        <v>11</v>
      </c>
      <c r="Q125" t="s">
        <v>263</v>
      </c>
      <c r="S125" t="s">
        <v>4</v>
      </c>
      <c r="T125" t="s">
        <v>264</v>
      </c>
      <c r="U125" t="s">
        <v>59</v>
      </c>
      <c r="V125">
        <v>9</v>
      </c>
      <c r="W125" t="s">
        <v>37</v>
      </c>
      <c r="X125" t="s">
        <v>521</v>
      </c>
      <c r="Y125" t="s">
        <v>8</v>
      </c>
      <c r="Z125" s="5" t="s">
        <v>954</v>
      </c>
      <c r="AA125" s="5" t="s">
        <v>1274</v>
      </c>
      <c r="AB125" t="s">
        <v>9</v>
      </c>
      <c r="AC125" s="2">
        <v>45566.574305555558</v>
      </c>
      <c r="AD125" s="2">
        <v>45566.574305555558</v>
      </c>
    </row>
    <row r="126" spans="1:30" x14ac:dyDescent="0.25">
      <c r="A126" t="s">
        <v>519</v>
      </c>
      <c r="B126" t="s">
        <v>1388</v>
      </c>
      <c r="C126" t="s">
        <v>520</v>
      </c>
      <c r="D126" t="s">
        <v>523</v>
      </c>
      <c r="E126" t="s">
        <v>16</v>
      </c>
      <c r="F126" t="s">
        <v>1184</v>
      </c>
      <c r="I126" s="5" t="s">
        <v>837</v>
      </c>
      <c r="J126" s="1">
        <v>40271</v>
      </c>
      <c r="K126" s="8">
        <v>61922274380</v>
      </c>
      <c r="O126" t="s">
        <v>11</v>
      </c>
      <c r="S126" t="s">
        <v>4</v>
      </c>
      <c r="T126" t="s">
        <v>265</v>
      </c>
      <c r="U126" t="s">
        <v>266</v>
      </c>
      <c r="V126">
        <v>35</v>
      </c>
      <c r="W126" t="s">
        <v>40</v>
      </c>
      <c r="X126" t="s">
        <v>521</v>
      </c>
      <c r="Y126" t="s">
        <v>8</v>
      </c>
      <c r="Z126" s="5" t="s">
        <v>1275</v>
      </c>
      <c r="AA126" s="5" t="s">
        <v>1276</v>
      </c>
      <c r="AB126" t="s">
        <v>9</v>
      </c>
      <c r="AC126" s="2">
        <v>45582.35833333333</v>
      </c>
      <c r="AD126" s="2">
        <v>45582.35833333333</v>
      </c>
    </row>
    <row r="127" spans="1:30" x14ac:dyDescent="0.25">
      <c r="A127" t="s">
        <v>519</v>
      </c>
      <c r="B127" t="s">
        <v>1389</v>
      </c>
      <c r="C127" t="s">
        <v>522</v>
      </c>
      <c r="D127" t="s">
        <v>523</v>
      </c>
      <c r="E127" t="s">
        <v>18</v>
      </c>
      <c r="F127" t="s">
        <v>1184</v>
      </c>
      <c r="I127" s="5" t="s">
        <v>838</v>
      </c>
      <c r="J127" s="1">
        <v>42791</v>
      </c>
      <c r="K127" s="8">
        <v>63532628333</v>
      </c>
      <c r="O127" t="s">
        <v>11</v>
      </c>
      <c r="Q127" t="s">
        <v>267</v>
      </c>
      <c r="S127" t="s">
        <v>4</v>
      </c>
      <c r="T127" t="s">
        <v>268</v>
      </c>
      <c r="U127" t="s">
        <v>269</v>
      </c>
      <c r="V127">
        <v>6</v>
      </c>
      <c r="W127" t="s">
        <v>37</v>
      </c>
      <c r="X127" t="s">
        <v>521</v>
      </c>
      <c r="Y127" t="s">
        <v>8</v>
      </c>
      <c r="Z127" s="5" t="s">
        <v>1277</v>
      </c>
      <c r="AA127" s="5" t="s">
        <v>1278</v>
      </c>
      <c r="AB127" t="s">
        <v>9</v>
      </c>
      <c r="AC127" s="2">
        <v>45567.386805555558</v>
      </c>
      <c r="AD127" s="2">
        <v>45567.43472222222</v>
      </c>
    </row>
    <row r="128" spans="1:30" x14ac:dyDescent="0.25">
      <c r="A128" t="s">
        <v>519</v>
      </c>
      <c r="B128" t="s">
        <v>1389</v>
      </c>
      <c r="C128" t="s">
        <v>522</v>
      </c>
      <c r="D128" t="s">
        <v>523</v>
      </c>
      <c r="E128" t="s">
        <v>23</v>
      </c>
      <c r="F128" t="s">
        <v>1184</v>
      </c>
      <c r="I128" s="5" t="s">
        <v>700</v>
      </c>
      <c r="J128" s="1">
        <v>41686</v>
      </c>
      <c r="K128" s="8">
        <v>63409536388</v>
      </c>
      <c r="O128" t="s">
        <v>2</v>
      </c>
      <c r="S128" t="s">
        <v>4</v>
      </c>
      <c r="T128" t="s">
        <v>270</v>
      </c>
      <c r="U128" t="s">
        <v>6</v>
      </c>
      <c r="V128">
        <v>9</v>
      </c>
      <c r="W128" t="s">
        <v>215</v>
      </c>
      <c r="X128" t="s">
        <v>521</v>
      </c>
      <c r="Y128" t="s">
        <v>8</v>
      </c>
      <c r="Z128" s="5" t="s">
        <v>955</v>
      </c>
      <c r="AA128" s="5" t="s">
        <v>1089</v>
      </c>
      <c r="AB128" t="s">
        <v>9</v>
      </c>
      <c r="AC128" s="2">
        <v>45574.38958333333</v>
      </c>
      <c r="AD128" s="2">
        <v>45574.38958333333</v>
      </c>
    </row>
    <row r="129" spans="1:30" x14ac:dyDescent="0.25">
      <c r="A129" t="s">
        <v>519</v>
      </c>
      <c r="B129" t="s">
        <v>1388</v>
      </c>
      <c r="C129" t="s">
        <v>520</v>
      </c>
      <c r="D129" t="s">
        <v>523</v>
      </c>
      <c r="E129" t="s">
        <v>1391</v>
      </c>
      <c r="F129" t="s">
        <v>106</v>
      </c>
      <c r="I129" s="5" t="s">
        <v>701</v>
      </c>
      <c r="J129" s="1">
        <v>40037</v>
      </c>
      <c r="K129" s="8">
        <v>6119440305</v>
      </c>
      <c r="L129" s="7">
        <v>4744170</v>
      </c>
      <c r="M129" t="s">
        <v>1</v>
      </c>
      <c r="N129" s="1">
        <v>43111</v>
      </c>
      <c r="O129" t="s">
        <v>2</v>
      </c>
      <c r="Q129" t="s">
        <v>271</v>
      </c>
      <c r="S129" t="s">
        <v>20</v>
      </c>
      <c r="T129" t="s">
        <v>75</v>
      </c>
      <c r="U129" t="s">
        <v>6</v>
      </c>
      <c r="W129" t="s">
        <v>76</v>
      </c>
      <c r="X129" t="s">
        <v>1387</v>
      </c>
      <c r="Y129" t="s">
        <v>8</v>
      </c>
      <c r="Z129" s="5" t="s">
        <v>901</v>
      </c>
      <c r="AA129" s="5" t="s">
        <v>1200</v>
      </c>
      <c r="AB129" t="s">
        <v>9</v>
      </c>
      <c r="AC129" s="2">
        <v>45573.64166666667</v>
      </c>
      <c r="AD129" s="2">
        <v>45573.64166666667</v>
      </c>
    </row>
    <row r="130" spans="1:30" x14ac:dyDescent="0.25">
      <c r="A130" t="s">
        <v>519</v>
      </c>
      <c r="B130" t="s">
        <v>1389</v>
      </c>
      <c r="C130" t="s">
        <v>522</v>
      </c>
      <c r="D130" t="s">
        <v>523</v>
      </c>
      <c r="E130" t="s">
        <v>46</v>
      </c>
      <c r="F130" t="s">
        <v>1184</v>
      </c>
      <c r="I130" s="5" t="s">
        <v>839</v>
      </c>
      <c r="J130" s="1">
        <v>41904</v>
      </c>
      <c r="K130" s="8">
        <v>62136043323</v>
      </c>
      <c r="O130" t="s">
        <v>2</v>
      </c>
      <c r="S130" t="s">
        <v>4</v>
      </c>
      <c r="T130" t="s">
        <v>542</v>
      </c>
      <c r="U130" t="s">
        <v>162</v>
      </c>
      <c r="V130">
        <v>23</v>
      </c>
      <c r="W130" t="s">
        <v>272</v>
      </c>
      <c r="X130" t="s">
        <v>521</v>
      </c>
      <c r="Y130" t="s">
        <v>8</v>
      </c>
      <c r="Z130" s="5" t="s">
        <v>1279</v>
      </c>
      <c r="AA130" s="5" t="s">
        <v>1280</v>
      </c>
      <c r="AB130" t="s">
        <v>9</v>
      </c>
      <c r="AC130" s="2">
        <v>45569.362500000003</v>
      </c>
      <c r="AD130" s="2">
        <v>45569.362500000003</v>
      </c>
    </row>
    <row r="131" spans="1:30" x14ac:dyDescent="0.25">
      <c r="A131" t="s">
        <v>519</v>
      </c>
      <c r="B131" t="s">
        <v>1388</v>
      </c>
      <c r="C131" t="s">
        <v>520</v>
      </c>
      <c r="D131" t="s">
        <v>523</v>
      </c>
      <c r="E131" t="s">
        <v>16</v>
      </c>
      <c r="F131" t="s">
        <v>1184</v>
      </c>
      <c r="I131" s="5" t="s">
        <v>702</v>
      </c>
      <c r="J131" s="1">
        <v>40626</v>
      </c>
      <c r="K131" s="8">
        <v>8325458305</v>
      </c>
      <c r="O131" t="s">
        <v>2</v>
      </c>
      <c r="S131" t="s">
        <v>4</v>
      </c>
      <c r="T131" t="s">
        <v>273</v>
      </c>
      <c r="U131" t="s">
        <v>274</v>
      </c>
      <c r="V131">
        <v>19</v>
      </c>
      <c r="W131" t="s">
        <v>31</v>
      </c>
      <c r="X131" t="s">
        <v>521</v>
      </c>
      <c r="Y131" t="s">
        <v>8</v>
      </c>
      <c r="Z131" s="5" t="s">
        <v>956</v>
      </c>
      <c r="AA131" s="5" t="s">
        <v>1090</v>
      </c>
      <c r="AB131" t="s">
        <v>9</v>
      </c>
      <c r="AC131" s="2">
        <v>45582.363194444442</v>
      </c>
      <c r="AD131" s="2">
        <v>45582.363194444442</v>
      </c>
    </row>
    <row r="132" spans="1:30" x14ac:dyDescent="0.25">
      <c r="A132" t="s">
        <v>519</v>
      </c>
      <c r="B132" t="s">
        <v>1389</v>
      </c>
      <c r="C132" t="s">
        <v>522</v>
      </c>
      <c r="D132" t="s">
        <v>523</v>
      </c>
      <c r="E132" t="s">
        <v>46</v>
      </c>
      <c r="F132" t="s">
        <v>1184</v>
      </c>
      <c r="I132" s="5" t="s">
        <v>703</v>
      </c>
      <c r="J132" s="1">
        <v>41861</v>
      </c>
      <c r="K132" s="8">
        <v>62917173360</v>
      </c>
      <c r="O132" t="s">
        <v>2</v>
      </c>
      <c r="S132" t="s">
        <v>4</v>
      </c>
      <c r="T132" t="s">
        <v>183</v>
      </c>
      <c r="U132" t="s">
        <v>275</v>
      </c>
      <c r="V132">
        <v>36</v>
      </c>
      <c r="W132" t="s">
        <v>15</v>
      </c>
      <c r="X132" t="s">
        <v>521</v>
      </c>
      <c r="Y132" t="s">
        <v>8</v>
      </c>
      <c r="Z132" s="5" t="s">
        <v>1281</v>
      </c>
      <c r="AA132" s="5" t="s">
        <v>1091</v>
      </c>
      <c r="AB132" t="s">
        <v>9</v>
      </c>
      <c r="AC132" s="2">
        <v>45569.364583333336</v>
      </c>
      <c r="AD132" s="2">
        <v>45569.364583333336</v>
      </c>
    </row>
    <row r="133" spans="1:30" x14ac:dyDescent="0.25">
      <c r="A133" t="s">
        <v>519</v>
      </c>
      <c r="B133" t="s">
        <v>1388</v>
      </c>
      <c r="C133" t="s">
        <v>520</v>
      </c>
      <c r="D133" t="s">
        <v>523</v>
      </c>
      <c r="E133" t="s">
        <v>1391</v>
      </c>
      <c r="F133" t="s">
        <v>1390</v>
      </c>
      <c r="I133" s="5" t="s">
        <v>704</v>
      </c>
      <c r="J133" s="1">
        <v>40309</v>
      </c>
      <c r="K133" s="8">
        <v>7788462373</v>
      </c>
      <c r="L133" s="7">
        <v>543540020145</v>
      </c>
      <c r="M133" t="s">
        <v>1</v>
      </c>
      <c r="N133" s="1">
        <v>43140</v>
      </c>
      <c r="O133" t="s">
        <v>2</v>
      </c>
      <c r="Q133" t="s">
        <v>276</v>
      </c>
      <c r="S133" t="s">
        <v>4</v>
      </c>
      <c r="T133" t="s">
        <v>277</v>
      </c>
      <c r="U133" t="s">
        <v>30</v>
      </c>
      <c r="V133">
        <v>2</v>
      </c>
      <c r="W133" t="s">
        <v>130</v>
      </c>
      <c r="X133" t="s">
        <v>521</v>
      </c>
      <c r="Y133" t="s">
        <v>8</v>
      </c>
      <c r="Z133" s="5" t="s">
        <v>957</v>
      </c>
      <c r="AA133" s="5" t="s">
        <v>1282</v>
      </c>
      <c r="AB133" t="s">
        <v>9</v>
      </c>
      <c r="AC133" s="2">
        <v>45574.679166666669</v>
      </c>
      <c r="AD133" s="2">
        <v>45574.679166666669</v>
      </c>
    </row>
    <row r="134" spans="1:30" x14ac:dyDescent="0.25">
      <c r="A134" t="s">
        <v>519</v>
      </c>
      <c r="B134" t="s">
        <v>1388</v>
      </c>
      <c r="C134" t="s">
        <v>520</v>
      </c>
      <c r="D134" t="s">
        <v>523</v>
      </c>
      <c r="E134" t="s">
        <v>1391</v>
      </c>
      <c r="F134" t="s">
        <v>106</v>
      </c>
      <c r="I134" s="5" t="s">
        <v>705</v>
      </c>
      <c r="J134" s="1">
        <v>39020</v>
      </c>
      <c r="K134" s="8">
        <v>60653111380</v>
      </c>
      <c r="L134" s="7">
        <v>402799920104</v>
      </c>
      <c r="M134" t="s">
        <v>1</v>
      </c>
      <c r="N134" s="1">
        <v>40399</v>
      </c>
      <c r="O134" t="s">
        <v>2</v>
      </c>
      <c r="Q134" t="s">
        <v>278</v>
      </c>
      <c r="S134" t="s">
        <v>4</v>
      </c>
      <c r="T134" t="s">
        <v>279</v>
      </c>
      <c r="U134" t="s">
        <v>30</v>
      </c>
      <c r="V134">
        <v>2</v>
      </c>
      <c r="W134" t="s">
        <v>68</v>
      </c>
      <c r="X134" t="s">
        <v>521</v>
      </c>
      <c r="Y134" t="s">
        <v>8</v>
      </c>
      <c r="Z134" s="5" t="s">
        <v>958</v>
      </c>
      <c r="AA134" s="5" t="s">
        <v>1283</v>
      </c>
      <c r="AB134" t="s">
        <v>9</v>
      </c>
      <c r="AC134" s="2">
        <v>45574.570833333331</v>
      </c>
      <c r="AD134" s="2">
        <v>45574.570833333331</v>
      </c>
    </row>
    <row r="135" spans="1:30" x14ac:dyDescent="0.25">
      <c r="A135" t="s">
        <v>519</v>
      </c>
      <c r="B135" t="s">
        <v>1389</v>
      </c>
      <c r="C135" t="s">
        <v>522</v>
      </c>
      <c r="D135" t="s">
        <v>523</v>
      </c>
      <c r="E135" t="s">
        <v>46</v>
      </c>
      <c r="F135" t="s">
        <v>1184</v>
      </c>
      <c r="I135" s="5" t="s">
        <v>706</v>
      </c>
      <c r="J135" s="1">
        <v>41754</v>
      </c>
      <c r="K135" s="8">
        <v>8292445307</v>
      </c>
      <c r="O135" t="s">
        <v>2</v>
      </c>
      <c r="S135" t="s">
        <v>4</v>
      </c>
      <c r="T135" t="s">
        <v>85</v>
      </c>
      <c r="U135" t="s">
        <v>280</v>
      </c>
      <c r="V135">
        <v>5</v>
      </c>
      <c r="W135" t="s">
        <v>31</v>
      </c>
      <c r="X135" t="s">
        <v>521</v>
      </c>
      <c r="Y135" t="s">
        <v>8</v>
      </c>
      <c r="Z135" s="5" t="s">
        <v>1284</v>
      </c>
      <c r="AA135" s="5" t="s">
        <v>1092</v>
      </c>
      <c r="AB135" t="s">
        <v>9</v>
      </c>
      <c r="AC135" s="2">
        <v>45569.367361111108</v>
      </c>
      <c r="AD135" s="2">
        <v>45569.367361111108</v>
      </c>
    </row>
    <row r="136" spans="1:30" x14ac:dyDescent="0.25">
      <c r="A136" t="s">
        <v>519</v>
      </c>
      <c r="B136" t="s">
        <v>1388</v>
      </c>
      <c r="C136" t="s">
        <v>520</v>
      </c>
      <c r="D136" t="s">
        <v>523</v>
      </c>
      <c r="E136" t="s">
        <v>1391</v>
      </c>
      <c r="F136" t="s">
        <v>1390</v>
      </c>
      <c r="I136" s="5" t="s">
        <v>840</v>
      </c>
      <c r="J136" s="1">
        <v>40175</v>
      </c>
      <c r="K136" s="8">
        <v>62385555301</v>
      </c>
      <c r="L136" s="7">
        <v>584131520169</v>
      </c>
      <c r="M136" t="s">
        <v>1</v>
      </c>
      <c r="N136" s="1">
        <v>42440</v>
      </c>
      <c r="O136" t="s">
        <v>2</v>
      </c>
      <c r="S136" t="s">
        <v>4</v>
      </c>
      <c r="T136" t="s">
        <v>281</v>
      </c>
      <c r="U136" t="s">
        <v>6</v>
      </c>
      <c r="V136">
        <v>1</v>
      </c>
      <c r="W136" t="s">
        <v>114</v>
      </c>
      <c r="X136" t="s">
        <v>521</v>
      </c>
      <c r="Y136" t="s">
        <v>8</v>
      </c>
      <c r="Z136" s="5" t="s">
        <v>959</v>
      </c>
      <c r="AA136" s="5" t="s">
        <v>1285</v>
      </c>
      <c r="AB136" t="s">
        <v>9</v>
      </c>
      <c r="AC136" s="2">
        <v>45574.683333333334</v>
      </c>
      <c r="AD136" s="2">
        <v>45574.683333333334</v>
      </c>
    </row>
    <row r="137" spans="1:30" x14ac:dyDescent="0.25">
      <c r="A137" t="s">
        <v>519</v>
      </c>
      <c r="B137" t="s">
        <v>1388</v>
      </c>
      <c r="C137" t="s">
        <v>520</v>
      </c>
      <c r="D137" t="s">
        <v>523</v>
      </c>
      <c r="E137" t="s">
        <v>0</v>
      </c>
      <c r="F137" t="s">
        <v>1184</v>
      </c>
      <c r="I137" s="5" t="s">
        <v>707</v>
      </c>
      <c r="J137" s="1">
        <v>41340</v>
      </c>
      <c r="K137" s="8">
        <v>7116922385</v>
      </c>
      <c r="L137" s="7">
        <v>678691320183</v>
      </c>
      <c r="M137" t="s">
        <v>1</v>
      </c>
      <c r="N137" s="1">
        <v>43390</v>
      </c>
      <c r="O137" t="s">
        <v>2</v>
      </c>
      <c r="Q137" t="s">
        <v>282</v>
      </c>
      <c r="S137" t="s">
        <v>4</v>
      </c>
      <c r="T137" t="s">
        <v>283</v>
      </c>
      <c r="U137" t="s">
        <v>283</v>
      </c>
      <c r="V137">
        <v>7</v>
      </c>
      <c r="W137" t="s">
        <v>31</v>
      </c>
      <c r="X137" t="s">
        <v>521</v>
      </c>
      <c r="Y137" t="s">
        <v>8</v>
      </c>
      <c r="Z137" s="5" t="s">
        <v>1286</v>
      </c>
      <c r="AA137" s="5" t="s">
        <v>1093</v>
      </c>
      <c r="AB137" t="s">
        <v>9</v>
      </c>
      <c r="AC137" s="2">
        <v>45566.651388888888</v>
      </c>
      <c r="AD137" s="2">
        <v>45566.651388888888</v>
      </c>
    </row>
    <row r="138" spans="1:30" x14ac:dyDescent="0.25">
      <c r="A138" t="s">
        <v>519</v>
      </c>
      <c r="B138" t="s">
        <v>1388</v>
      </c>
      <c r="C138" t="s">
        <v>520</v>
      </c>
      <c r="D138" t="s">
        <v>523</v>
      </c>
      <c r="E138" t="s">
        <v>1391</v>
      </c>
      <c r="F138" t="s">
        <v>106</v>
      </c>
      <c r="I138" s="5" t="s">
        <v>708</v>
      </c>
      <c r="J138" s="1">
        <v>39909</v>
      </c>
      <c r="K138" s="8">
        <v>61743825323</v>
      </c>
      <c r="L138" s="7">
        <v>514583020148</v>
      </c>
      <c r="M138" t="s">
        <v>1</v>
      </c>
      <c r="N138" s="1">
        <v>41674</v>
      </c>
      <c r="O138" t="s">
        <v>2</v>
      </c>
      <c r="Q138" t="s">
        <v>284</v>
      </c>
      <c r="S138" t="s">
        <v>4</v>
      </c>
      <c r="T138" t="s">
        <v>285</v>
      </c>
      <c r="U138" t="s">
        <v>30</v>
      </c>
      <c r="V138">
        <v>15</v>
      </c>
      <c r="W138" t="s">
        <v>31</v>
      </c>
      <c r="X138" t="s">
        <v>521</v>
      </c>
      <c r="Y138" t="s">
        <v>8</v>
      </c>
      <c r="Z138" s="5" t="s">
        <v>960</v>
      </c>
      <c r="AA138" s="5" t="s">
        <v>1094</v>
      </c>
      <c r="AB138" t="s">
        <v>9</v>
      </c>
      <c r="AC138" s="2">
        <v>45574.597916666666</v>
      </c>
      <c r="AD138" s="2">
        <v>45574.597916666666</v>
      </c>
    </row>
    <row r="139" spans="1:30" x14ac:dyDescent="0.25">
      <c r="A139" t="s">
        <v>519</v>
      </c>
      <c r="B139" t="s">
        <v>1388</v>
      </c>
      <c r="C139" t="s">
        <v>520</v>
      </c>
      <c r="D139" t="s">
        <v>523</v>
      </c>
      <c r="E139" t="s">
        <v>27</v>
      </c>
      <c r="F139" t="s">
        <v>1184</v>
      </c>
      <c r="I139" s="5" t="s">
        <v>709</v>
      </c>
      <c r="J139" s="1">
        <v>40736</v>
      </c>
      <c r="K139" s="8">
        <v>62074348380</v>
      </c>
      <c r="L139" s="7">
        <v>550081720158</v>
      </c>
      <c r="M139" t="s">
        <v>1</v>
      </c>
      <c r="N139" s="1">
        <v>42017</v>
      </c>
      <c r="O139" t="s">
        <v>2</v>
      </c>
      <c r="Q139" t="s">
        <v>286</v>
      </c>
      <c r="S139" t="s">
        <v>4</v>
      </c>
      <c r="T139" t="s">
        <v>287</v>
      </c>
      <c r="U139" t="s">
        <v>59</v>
      </c>
      <c r="V139">
        <v>24</v>
      </c>
      <c r="W139" t="s">
        <v>540</v>
      </c>
      <c r="X139" t="s">
        <v>521</v>
      </c>
      <c r="Y139" t="s">
        <v>8</v>
      </c>
      <c r="Z139" s="5" t="s">
        <v>961</v>
      </c>
      <c r="AA139" s="5" t="s">
        <v>1095</v>
      </c>
      <c r="AB139" t="s">
        <v>9</v>
      </c>
      <c r="AC139" s="2">
        <v>45568.649305555555</v>
      </c>
      <c r="AD139" s="2">
        <v>45568.649305555555</v>
      </c>
    </row>
    <row r="140" spans="1:30" x14ac:dyDescent="0.25">
      <c r="A140" t="s">
        <v>519</v>
      </c>
      <c r="B140" t="s">
        <v>1388</v>
      </c>
      <c r="C140" t="s">
        <v>520</v>
      </c>
      <c r="D140" t="s">
        <v>523</v>
      </c>
      <c r="E140" t="s">
        <v>27</v>
      </c>
      <c r="F140" t="s">
        <v>1184</v>
      </c>
      <c r="I140" s="5" t="s">
        <v>710</v>
      </c>
      <c r="J140" s="1">
        <v>40607</v>
      </c>
      <c r="K140" s="8">
        <v>63049874392</v>
      </c>
      <c r="L140" s="7">
        <v>660023220189</v>
      </c>
      <c r="M140" t="s">
        <v>1</v>
      </c>
      <c r="N140" s="1">
        <v>44397</v>
      </c>
      <c r="O140" t="s">
        <v>2</v>
      </c>
      <c r="Q140" t="s">
        <v>288</v>
      </c>
      <c r="S140" t="s">
        <v>4</v>
      </c>
      <c r="T140" t="s">
        <v>289</v>
      </c>
      <c r="U140" t="s">
        <v>6</v>
      </c>
      <c r="V140">
        <v>33</v>
      </c>
      <c r="W140" t="s">
        <v>31</v>
      </c>
      <c r="X140" t="s">
        <v>521</v>
      </c>
      <c r="Y140" t="s">
        <v>8</v>
      </c>
      <c r="Z140" s="5" t="s">
        <v>962</v>
      </c>
      <c r="AA140" s="5" t="s">
        <v>1287</v>
      </c>
      <c r="AB140" t="s">
        <v>9</v>
      </c>
      <c r="AC140" s="2">
        <v>45568.651388888888</v>
      </c>
      <c r="AD140" s="2">
        <v>45568.651388888888</v>
      </c>
    </row>
    <row r="141" spans="1:30" x14ac:dyDescent="0.25">
      <c r="A141" t="s">
        <v>519</v>
      </c>
      <c r="B141" t="s">
        <v>1388</v>
      </c>
      <c r="C141" t="s">
        <v>520</v>
      </c>
      <c r="D141" t="s">
        <v>523</v>
      </c>
      <c r="E141" t="s">
        <v>0</v>
      </c>
      <c r="F141" t="s">
        <v>1184</v>
      </c>
      <c r="I141" s="5" t="s">
        <v>841</v>
      </c>
      <c r="J141" s="1">
        <v>41171</v>
      </c>
      <c r="K141" s="8">
        <v>62020814307</v>
      </c>
      <c r="L141" s="7">
        <v>544028020140</v>
      </c>
      <c r="M141" t="s">
        <v>1</v>
      </c>
      <c r="N141" s="1">
        <v>41936</v>
      </c>
      <c r="O141" t="s">
        <v>2</v>
      </c>
      <c r="Q141" t="s">
        <v>290</v>
      </c>
      <c r="S141" t="s">
        <v>4</v>
      </c>
      <c r="T141" t="s">
        <v>291</v>
      </c>
      <c r="U141" t="s">
        <v>30</v>
      </c>
      <c r="V141">
        <v>12</v>
      </c>
      <c r="W141" t="s">
        <v>31</v>
      </c>
      <c r="X141" t="s">
        <v>521</v>
      </c>
      <c r="Y141" t="s">
        <v>8</v>
      </c>
      <c r="Z141" s="5" t="s">
        <v>963</v>
      </c>
      <c r="AA141" s="5" t="s">
        <v>1288</v>
      </c>
      <c r="AB141" t="s">
        <v>9</v>
      </c>
      <c r="AC141" s="2">
        <v>45566.633333333331</v>
      </c>
      <c r="AD141" s="2">
        <v>45566.633333333331</v>
      </c>
    </row>
    <row r="142" spans="1:30" x14ac:dyDescent="0.25">
      <c r="A142" t="s">
        <v>519</v>
      </c>
      <c r="B142" t="s">
        <v>1388</v>
      </c>
      <c r="C142" t="s">
        <v>520</v>
      </c>
      <c r="D142" t="s">
        <v>523</v>
      </c>
      <c r="E142" t="s">
        <v>16</v>
      </c>
      <c r="F142" t="s">
        <v>1184</v>
      </c>
      <c r="I142" s="5" t="s">
        <v>842</v>
      </c>
      <c r="J142" s="1">
        <v>42025</v>
      </c>
      <c r="K142" s="8">
        <v>62082146375</v>
      </c>
      <c r="O142" t="s">
        <v>2</v>
      </c>
      <c r="S142" t="s">
        <v>4</v>
      </c>
      <c r="T142" t="s">
        <v>292</v>
      </c>
      <c r="U142" t="s">
        <v>274</v>
      </c>
      <c r="V142">
        <v>29</v>
      </c>
      <c r="W142" t="s">
        <v>31</v>
      </c>
      <c r="X142" t="s">
        <v>521</v>
      </c>
      <c r="Y142" t="s">
        <v>8</v>
      </c>
      <c r="Z142" s="5" t="s">
        <v>1289</v>
      </c>
      <c r="AA142" s="5" t="s">
        <v>1290</v>
      </c>
      <c r="AB142" t="s">
        <v>9</v>
      </c>
      <c r="AC142" s="2">
        <v>45582.365972222222</v>
      </c>
      <c r="AD142" s="2">
        <v>45582.365972222222</v>
      </c>
    </row>
    <row r="143" spans="1:30" x14ac:dyDescent="0.25">
      <c r="A143" t="s">
        <v>519</v>
      </c>
      <c r="B143" t="s">
        <v>1389</v>
      </c>
      <c r="C143" t="s">
        <v>522</v>
      </c>
      <c r="D143" t="s">
        <v>523</v>
      </c>
      <c r="E143" t="s">
        <v>18</v>
      </c>
      <c r="F143" t="s">
        <v>1184</v>
      </c>
      <c r="I143" s="5" t="s">
        <v>711</v>
      </c>
      <c r="J143" s="1">
        <v>42778</v>
      </c>
      <c r="K143" s="8">
        <v>63096836329</v>
      </c>
      <c r="O143" t="s">
        <v>2</v>
      </c>
      <c r="Q143" t="s">
        <v>293</v>
      </c>
      <c r="S143" t="s">
        <v>4</v>
      </c>
      <c r="T143" t="s">
        <v>141</v>
      </c>
      <c r="U143" t="s">
        <v>142</v>
      </c>
      <c r="V143">
        <v>19</v>
      </c>
      <c r="W143" t="s">
        <v>37</v>
      </c>
      <c r="X143" t="s">
        <v>521</v>
      </c>
      <c r="Y143" t="s">
        <v>8</v>
      </c>
      <c r="Z143" s="5" t="s">
        <v>1215</v>
      </c>
      <c r="AA143" s="5" t="s">
        <v>1291</v>
      </c>
      <c r="AB143" t="s">
        <v>9</v>
      </c>
      <c r="AC143" s="2">
        <v>45567.429861111108</v>
      </c>
      <c r="AD143" s="2">
        <v>45567.436111111114</v>
      </c>
    </row>
    <row r="144" spans="1:30" x14ac:dyDescent="0.25">
      <c r="A144" t="s">
        <v>519</v>
      </c>
      <c r="B144" t="s">
        <v>1389</v>
      </c>
      <c r="C144" t="s">
        <v>522</v>
      </c>
      <c r="D144" t="s">
        <v>523</v>
      </c>
      <c r="E144" t="s">
        <v>10</v>
      </c>
      <c r="F144" t="s">
        <v>1184</v>
      </c>
      <c r="I144" s="5" t="s">
        <v>843</v>
      </c>
      <c r="J144" s="1">
        <v>42329</v>
      </c>
      <c r="K144" s="8">
        <v>11291263314</v>
      </c>
      <c r="O144" t="s">
        <v>2</v>
      </c>
      <c r="S144" t="s">
        <v>20</v>
      </c>
      <c r="T144" t="s">
        <v>294</v>
      </c>
      <c r="U144" t="s">
        <v>295</v>
      </c>
      <c r="V144">
        <v>5</v>
      </c>
      <c r="W144" t="s">
        <v>296</v>
      </c>
      <c r="X144" t="s">
        <v>1387</v>
      </c>
      <c r="Y144" t="s">
        <v>8</v>
      </c>
      <c r="Z144" s="5" t="s">
        <v>964</v>
      </c>
      <c r="AA144" s="5" t="s">
        <v>1292</v>
      </c>
      <c r="AB144" t="s">
        <v>9</v>
      </c>
      <c r="AC144" s="2">
        <v>45568.375</v>
      </c>
      <c r="AD144" s="2">
        <v>45568.375</v>
      </c>
    </row>
    <row r="145" spans="1:30" x14ac:dyDescent="0.25">
      <c r="A145" t="s">
        <v>519</v>
      </c>
      <c r="B145" t="s">
        <v>1388</v>
      </c>
      <c r="C145" t="s">
        <v>520</v>
      </c>
      <c r="D145" t="s">
        <v>523</v>
      </c>
      <c r="E145" t="s">
        <v>1391</v>
      </c>
      <c r="F145" t="s">
        <v>1390</v>
      </c>
      <c r="I145" s="5" t="s">
        <v>844</v>
      </c>
      <c r="J145" s="1">
        <v>40235</v>
      </c>
      <c r="K145" s="8">
        <v>62582146307</v>
      </c>
      <c r="L145" s="7">
        <v>609481320170</v>
      </c>
      <c r="M145" t="s">
        <v>1</v>
      </c>
      <c r="N145" s="1">
        <v>42741</v>
      </c>
      <c r="O145" t="s">
        <v>2</v>
      </c>
      <c r="Q145" t="s">
        <v>297</v>
      </c>
      <c r="S145" t="s">
        <v>4</v>
      </c>
      <c r="T145" t="s">
        <v>298</v>
      </c>
      <c r="U145" t="s">
        <v>299</v>
      </c>
      <c r="V145">
        <v>18</v>
      </c>
      <c r="W145" t="s">
        <v>300</v>
      </c>
      <c r="X145" t="s">
        <v>521</v>
      </c>
      <c r="Y145" t="s">
        <v>8</v>
      </c>
      <c r="Z145" s="5" t="s">
        <v>1293</v>
      </c>
      <c r="AA145" s="5" t="s">
        <v>1294</v>
      </c>
      <c r="AB145" t="s">
        <v>9</v>
      </c>
      <c r="AC145" s="2">
        <v>45574.681250000001</v>
      </c>
      <c r="AD145" s="2">
        <v>45574.681250000001</v>
      </c>
    </row>
    <row r="146" spans="1:30" x14ac:dyDescent="0.25">
      <c r="A146" t="s">
        <v>519</v>
      </c>
      <c r="B146" t="s">
        <v>1388</v>
      </c>
      <c r="C146" t="s">
        <v>520</v>
      </c>
      <c r="D146" t="s">
        <v>523</v>
      </c>
      <c r="E146" t="s">
        <v>0</v>
      </c>
      <c r="F146" t="s">
        <v>1184</v>
      </c>
      <c r="I146" s="5" t="s">
        <v>712</v>
      </c>
      <c r="J146" s="1">
        <v>41341</v>
      </c>
      <c r="K146" s="8">
        <v>18113670700</v>
      </c>
      <c r="L146" s="7">
        <v>301846481</v>
      </c>
      <c r="M146" t="s">
        <v>1</v>
      </c>
      <c r="N146" s="1">
        <v>42772</v>
      </c>
      <c r="O146" t="s">
        <v>11</v>
      </c>
      <c r="Q146" t="s">
        <v>301</v>
      </c>
      <c r="S146" t="s">
        <v>20</v>
      </c>
      <c r="T146" t="s">
        <v>302</v>
      </c>
      <c r="U146" t="s">
        <v>303</v>
      </c>
      <c r="V146">
        <v>208</v>
      </c>
      <c r="W146" t="s">
        <v>304</v>
      </c>
      <c r="X146" t="s">
        <v>1387</v>
      </c>
      <c r="Y146" t="s">
        <v>8</v>
      </c>
      <c r="Z146" s="5" t="s">
        <v>1295</v>
      </c>
      <c r="AA146" s="5" t="s">
        <v>1296</v>
      </c>
      <c r="AB146" t="s">
        <v>9</v>
      </c>
      <c r="AC146" s="2">
        <v>45566.640277777777</v>
      </c>
      <c r="AD146" s="2">
        <v>45566.640277777777</v>
      </c>
    </row>
    <row r="147" spans="1:30" x14ac:dyDescent="0.25">
      <c r="A147" t="s">
        <v>519</v>
      </c>
      <c r="B147" t="s">
        <v>1388</v>
      </c>
      <c r="C147" t="s">
        <v>520</v>
      </c>
      <c r="D147" t="s">
        <v>523</v>
      </c>
      <c r="E147" t="s">
        <v>0</v>
      </c>
      <c r="F147" t="s">
        <v>1184</v>
      </c>
      <c r="I147" s="5" t="s">
        <v>713</v>
      </c>
      <c r="J147" s="1">
        <v>41103</v>
      </c>
      <c r="K147" s="8">
        <v>62498183329</v>
      </c>
      <c r="L147" s="7">
        <v>598344920168</v>
      </c>
      <c r="M147" t="s">
        <v>1</v>
      </c>
      <c r="N147" s="1">
        <v>42607</v>
      </c>
      <c r="O147" t="s">
        <v>11</v>
      </c>
      <c r="Q147" t="s">
        <v>293</v>
      </c>
      <c r="S147" t="s">
        <v>4</v>
      </c>
      <c r="T147" t="s">
        <v>305</v>
      </c>
      <c r="U147" t="s">
        <v>59</v>
      </c>
      <c r="V147">
        <v>19</v>
      </c>
      <c r="W147" t="s">
        <v>37</v>
      </c>
      <c r="X147" t="s">
        <v>521</v>
      </c>
      <c r="Y147" t="s">
        <v>8</v>
      </c>
      <c r="Z147" s="5" t="s">
        <v>1215</v>
      </c>
      <c r="AA147" s="5" t="s">
        <v>1096</v>
      </c>
      <c r="AB147" t="s">
        <v>9</v>
      </c>
      <c r="AC147" s="2">
        <v>45566.613888888889</v>
      </c>
      <c r="AD147" s="2">
        <v>45566.613888888889</v>
      </c>
    </row>
    <row r="148" spans="1:30" x14ac:dyDescent="0.25">
      <c r="A148" t="s">
        <v>519</v>
      </c>
      <c r="B148" t="s">
        <v>1389</v>
      </c>
      <c r="C148" t="s">
        <v>522</v>
      </c>
      <c r="D148" t="s">
        <v>523</v>
      </c>
      <c r="E148" t="s">
        <v>102</v>
      </c>
      <c r="F148" t="s">
        <v>1184</v>
      </c>
      <c r="I148" s="5" t="s">
        <v>845</v>
      </c>
      <c r="J148" s="1">
        <v>42958</v>
      </c>
      <c r="K148" s="8">
        <v>63638562301</v>
      </c>
      <c r="O148" t="s">
        <v>11</v>
      </c>
      <c r="P148" t="s">
        <v>306</v>
      </c>
      <c r="S148" t="s">
        <v>4</v>
      </c>
      <c r="T148" t="s">
        <v>307</v>
      </c>
      <c r="U148" t="s">
        <v>308</v>
      </c>
      <c r="V148">
        <v>1</v>
      </c>
      <c r="W148" t="s">
        <v>309</v>
      </c>
      <c r="X148" t="s">
        <v>521</v>
      </c>
      <c r="Y148" t="s">
        <v>8</v>
      </c>
      <c r="Z148" s="5" t="s">
        <v>965</v>
      </c>
      <c r="AA148" s="5" t="s">
        <v>1297</v>
      </c>
      <c r="AB148" t="s">
        <v>9</v>
      </c>
      <c r="AC148" s="2">
        <v>45567.331250000003</v>
      </c>
      <c r="AD148" s="2">
        <v>45567.331250000003</v>
      </c>
    </row>
    <row r="149" spans="1:30" x14ac:dyDescent="0.25">
      <c r="A149" t="s">
        <v>519</v>
      </c>
      <c r="B149" t="s">
        <v>1388</v>
      </c>
      <c r="C149" t="s">
        <v>520</v>
      </c>
      <c r="D149" t="s">
        <v>523</v>
      </c>
      <c r="E149" t="s">
        <v>1391</v>
      </c>
      <c r="F149" t="s">
        <v>1390</v>
      </c>
      <c r="I149" s="5" t="s">
        <v>846</v>
      </c>
      <c r="J149" s="1">
        <v>39906</v>
      </c>
      <c r="K149" s="8">
        <v>63121490303</v>
      </c>
      <c r="L149" s="7">
        <v>668103020183</v>
      </c>
      <c r="M149" t="s">
        <v>1</v>
      </c>
      <c r="N149" s="1">
        <v>43298</v>
      </c>
      <c r="O149" t="s">
        <v>2</v>
      </c>
      <c r="Q149" t="s">
        <v>310</v>
      </c>
      <c r="S149" t="s">
        <v>4</v>
      </c>
      <c r="T149" t="s">
        <v>311</v>
      </c>
      <c r="U149" t="s">
        <v>30</v>
      </c>
      <c r="V149">
        <v>7</v>
      </c>
      <c r="W149" t="s">
        <v>312</v>
      </c>
      <c r="X149" t="s">
        <v>521</v>
      </c>
      <c r="Y149" t="s">
        <v>8</v>
      </c>
      <c r="Z149" s="5" t="s">
        <v>1298</v>
      </c>
      <c r="AA149" s="5" t="s">
        <v>1097</v>
      </c>
      <c r="AB149" t="s">
        <v>9</v>
      </c>
      <c r="AC149" s="2">
        <v>45574.677083333336</v>
      </c>
      <c r="AD149" s="2">
        <v>45574.677083333336</v>
      </c>
    </row>
    <row r="150" spans="1:30" x14ac:dyDescent="0.25">
      <c r="A150" t="s">
        <v>519</v>
      </c>
      <c r="B150" t="s">
        <v>1388</v>
      </c>
      <c r="C150" t="s">
        <v>520</v>
      </c>
      <c r="D150" t="s">
        <v>523</v>
      </c>
      <c r="E150" t="s">
        <v>16</v>
      </c>
      <c r="F150" t="s">
        <v>1184</v>
      </c>
      <c r="I150" s="5" t="s">
        <v>714</v>
      </c>
      <c r="J150" s="1">
        <v>40389</v>
      </c>
      <c r="K150" s="8">
        <v>62778384316</v>
      </c>
      <c r="O150" t="s">
        <v>2</v>
      </c>
      <c r="S150" t="s">
        <v>4</v>
      </c>
      <c r="T150" t="s">
        <v>75</v>
      </c>
      <c r="U150" t="s">
        <v>6</v>
      </c>
      <c r="V150">
        <v>51</v>
      </c>
      <c r="W150" t="s">
        <v>121</v>
      </c>
      <c r="X150" t="s">
        <v>521</v>
      </c>
      <c r="Y150" t="s">
        <v>8</v>
      </c>
      <c r="Z150" s="5" t="s">
        <v>914</v>
      </c>
      <c r="AA150" s="5" t="s">
        <v>1052</v>
      </c>
      <c r="AB150" t="s">
        <v>9</v>
      </c>
      <c r="AC150" s="2">
        <v>45581.339583333334</v>
      </c>
      <c r="AD150" s="2">
        <v>45581.339583333334</v>
      </c>
    </row>
    <row r="151" spans="1:30" x14ac:dyDescent="0.25">
      <c r="A151" t="s">
        <v>519</v>
      </c>
      <c r="B151" t="s">
        <v>1389</v>
      </c>
      <c r="C151" t="s">
        <v>522</v>
      </c>
      <c r="D151" t="s">
        <v>523</v>
      </c>
      <c r="E151" t="s">
        <v>46</v>
      </c>
      <c r="F151" t="s">
        <v>1184</v>
      </c>
      <c r="I151" s="5" t="s">
        <v>715</v>
      </c>
      <c r="J151" s="1">
        <v>41997</v>
      </c>
      <c r="K151" s="8">
        <v>8942593348</v>
      </c>
      <c r="O151" t="s">
        <v>2</v>
      </c>
      <c r="S151" t="s">
        <v>4</v>
      </c>
      <c r="T151" t="s">
        <v>313</v>
      </c>
      <c r="U151" t="s">
        <v>314</v>
      </c>
      <c r="V151">
        <v>19</v>
      </c>
      <c r="W151" t="s">
        <v>315</v>
      </c>
      <c r="X151" t="s">
        <v>521</v>
      </c>
      <c r="Y151" t="s">
        <v>8</v>
      </c>
      <c r="Z151" s="5" t="s">
        <v>966</v>
      </c>
      <c r="AA151" s="5" t="s">
        <v>1299</v>
      </c>
      <c r="AB151" t="s">
        <v>9</v>
      </c>
      <c r="AC151" s="2">
        <v>45569.369444444441</v>
      </c>
      <c r="AD151" s="2">
        <v>45569.369444444441</v>
      </c>
    </row>
    <row r="152" spans="1:30" x14ac:dyDescent="0.25">
      <c r="A152" t="s">
        <v>519</v>
      </c>
      <c r="B152" t="s">
        <v>1388</v>
      </c>
      <c r="C152" t="s">
        <v>520</v>
      </c>
      <c r="D152" t="s">
        <v>523</v>
      </c>
      <c r="E152" t="s">
        <v>1391</v>
      </c>
      <c r="F152" t="s">
        <v>106</v>
      </c>
      <c r="I152" s="5" t="s">
        <v>716</v>
      </c>
      <c r="J152" s="1">
        <v>39971</v>
      </c>
      <c r="K152" s="8">
        <v>60988192381</v>
      </c>
      <c r="L152" s="7">
        <v>438224020110</v>
      </c>
      <c r="M152" t="s">
        <v>1</v>
      </c>
      <c r="N152" s="1">
        <v>40884</v>
      </c>
      <c r="O152" t="s">
        <v>11</v>
      </c>
      <c r="Q152" t="s">
        <v>316</v>
      </c>
      <c r="S152" t="s">
        <v>4</v>
      </c>
      <c r="T152" t="s">
        <v>317</v>
      </c>
      <c r="U152" t="s">
        <v>30</v>
      </c>
      <c r="W152" t="s">
        <v>318</v>
      </c>
      <c r="X152" t="s">
        <v>521</v>
      </c>
      <c r="Y152" t="s">
        <v>8</v>
      </c>
      <c r="Z152" s="5" t="s">
        <v>967</v>
      </c>
      <c r="AA152" s="5" t="s">
        <v>1098</v>
      </c>
      <c r="AB152" t="s">
        <v>9</v>
      </c>
      <c r="AC152" s="2">
        <v>45573.693055555559</v>
      </c>
      <c r="AD152" s="2">
        <v>45573.693055555559</v>
      </c>
    </row>
    <row r="153" spans="1:30" x14ac:dyDescent="0.25">
      <c r="A153" t="s">
        <v>519</v>
      </c>
      <c r="B153" t="s">
        <v>1389</v>
      </c>
      <c r="C153" t="s">
        <v>522</v>
      </c>
      <c r="D153" t="s">
        <v>523</v>
      </c>
      <c r="E153" t="s">
        <v>10</v>
      </c>
      <c r="F153" t="s">
        <v>1184</v>
      </c>
      <c r="I153" s="5" t="s">
        <v>717</v>
      </c>
      <c r="J153" s="1">
        <v>42253</v>
      </c>
      <c r="K153" s="8">
        <v>62333000376</v>
      </c>
      <c r="O153" t="s">
        <v>11</v>
      </c>
      <c r="S153" t="s">
        <v>4</v>
      </c>
      <c r="T153" t="s">
        <v>319</v>
      </c>
      <c r="U153" t="s">
        <v>320</v>
      </c>
      <c r="V153">
        <v>9</v>
      </c>
      <c r="W153" t="s">
        <v>31</v>
      </c>
      <c r="X153" t="s">
        <v>521</v>
      </c>
      <c r="Y153" t="s">
        <v>8</v>
      </c>
      <c r="Z153" s="5" t="s">
        <v>1300</v>
      </c>
      <c r="AA153" s="5" t="s">
        <v>1099</v>
      </c>
      <c r="AB153" t="s">
        <v>9</v>
      </c>
      <c r="AC153" s="2">
        <v>45568.357638888891</v>
      </c>
      <c r="AD153" s="2">
        <v>45568.357638888891</v>
      </c>
    </row>
    <row r="154" spans="1:30" x14ac:dyDescent="0.25">
      <c r="A154" t="s">
        <v>519</v>
      </c>
      <c r="B154" t="s">
        <v>1389</v>
      </c>
      <c r="C154" t="s">
        <v>522</v>
      </c>
      <c r="D154" t="s">
        <v>523</v>
      </c>
      <c r="E154" t="s">
        <v>46</v>
      </c>
      <c r="F154" t="s">
        <v>1184</v>
      </c>
      <c r="I154" s="5" t="s">
        <v>718</v>
      </c>
      <c r="J154" s="1">
        <v>41997</v>
      </c>
      <c r="K154" s="8">
        <v>8942608396</v>
      </c>
      <c r="O154" t="s">
        <v>2</v>
      </c>
      <c r="S154" t="s">
        <v>4</v>
      </c>
      <c r="T154" t="s">
        <v>313</v>
      </c>
      <c r="U154" t="s">
        <v>314</v>
      </c>
      <c r="V154">
        <v>19</v>
      </c>
      <c r="W154" t="s">
        <v>315</v>
      </c>
      <c r="X154" t="s">
        <v>521</v>
      </c>
      <c r="Y154" t="s">
        <v>8</v>
      </c>
      <c r="Z154" s="5" t="s">
        <v>966</v>
      </c>
      <c r="AA154" s="5" t="s">
        <v>1299</v>
      </c>
      <c r="AB154" t="s">
        <v>9</v>
      </c>
      <c r="AC154" s="2">
        <v>45569.371527777781</v>
      </c>
      <c r="AD154" s="2">
        <v>45569.371527777781</v>
      </c>
    </row>
    <row r="155" spans="1:30" x14ac:dyDescent="0.25">
      <c r="A155" t="s">
        <v>519</v>
      </c>
      <c r="B155" t="s">
        <v>1388</v>
      </c>
      <c r="C155" t="s">
        <v>520</v>
      </c>
      <c r="D155" t="s">
        <v>523</v>
      </c>
      <c r="E155" t="s">
        <v>27</v>
      </c>
      <c r="F155" t="s">
        <v>1184</v>
      </c>
      <c r="I155" s="5" t="s">
        <v>719</v>
      </c>
      <c r="J155" s="1">
        <v>42214</v>
      </c>
      <c r="K155" s="8">
        <v>62236658303</v>
      </c>
      <c r="L155" s="7">
        <v>567137720154</v>
      </c>
      <c r="M155" t="s">
        <v>1</v>
      </c>
      <c r="N155" s="1">
        <v>42214</v>
      </c>
      <c r="O155" t="s">
        <v>2</v>
      </c>
      <c r="Q155" t="s">
        <v>321</v>
      </c>
      <c r="S155" t="s">
        <v>4</v>
      </c>
      <c r="T155" t="s">
        <v>322</v>
      </c>
      <c r="U155" t="s">
        <v>30</v>
      </c>
      <c r="V155">
        <v>61</v>
      </c>
      <c r="W155" t="s">
        <v>40</v>
      </c>
      <c r="X155" t="s">
        <v>521</v>
      </c>
      <c r="Y155" t="s">
        <v>8</v>
      </c>
      <c r="Z155" s="5" t="s">
        <v>968</v>
      </c>
      <c r="AA155" s="5" t="s">
        <v>1100</v>
      </c>
      <c r="AB155" t="s">
        <v>9</v>
      </c>
      <c r="AC155" s="2">
        <v>45568.61041666667</v>
      </c>
      <c r="AD155" s="2">
        <v>45568.61041666667</v>
      </c>
    </row>
    <row r="156" spans="1:30" x14ac:dyDescent="0.25">
      <c r="A156" t="s">
        <v>519</v>
      </c>
      <c r="B156" t="s">
        <v>1388</v>
      </c>
      <c r="C156" t="s">
        <v>520</v>
      </c>
      <c r="D156" t="s">
        <v>523</v>
      </c>
      <c r="E156" t="s">
        <v>1391</v>
      </c>
      <c r="F156" t="s">
        <v>1390</v>
      </c>
      <c r="I156" s="5" t="s">
        <v>847</v>
      </c>
      <c r="J156" s="1">
        <v>40185</v>
      </c>
      <c r="K156" s="8">
        <v>62078475394</v>
      </c>
      <c r="L156" s="7">
        <v>550593220154</v>
      </c>
      <c r="M156" t="s">
        <v>1</v>
      </c>
      <c r="N156" s="1">
        <v>42031</v>
      </c>
      <c r="O156" t="s">
        <v>11</v>
      </c>
      <c r="Q156" t="s">
        <v>323</v>
      </c>
      <c r="S156" t="s">
        <v>4</v>
      </c>
      <c r="T156" t="s">
        <v>324</v>
      </c>
      <c r="U156" t="s">
        <v>30</v>
      </c>
      <c r="V156">
        <v>38</v>
      </c>
      <c r="W156" t="s">
        <v>121</v>
      </c>
      <c r="X156" t="s">
        <v>521</v>
      </c>
      <c r="Y156" t="s">
        <v>8</v>
      </c>
      <c r="Z156" s="5" t="s">
        <v>926</v>
      </c>
      <c r="AA156" s="5" t="s">
        <v>1301</v>
      </c>
      <c r="AB156" t="s">
        <v>9</v>
      </c>
      <c r="AC156" s="2">
        <v>45574.67291666667</v>
      </c>
      <c r="AD156" s="2">
        <v>45574.67291666667</v>
      </c>
    </row>
    <row r="157" spans="1:30" x14ac:dyDescent="0.25">
      <c r="A157" t="s">
        <v>519</v>
      </c>
      <c r="B157" t="s">
        <v>1388</v>
      </c>
      <c r="C157" t="s">
        <v>520</v>
      </c>
      <c r="D157" t="s">
        <v>523</v>
      </c>
      <c r="E157" t="s">
        <v>1391</v>
      </c>
      <c r="F157" t="s">
        <v>106</v>
      </c>
      <c r="I157" s="5" t="s">
        <v>720</v>
      </c>
      <c r="J157" s="1">
        <v>40053</v>
      </c>
      <c r="K157" s="8">
        <v>62057054357</v>
      </c>
      <c r="L157" s="7">
        <v>547831520148</v>
      </c>
      <c r="M157" t="s">
        <v>1</v>
      </c>
      <c r="N157" s="1">
        <v>41985</v>
      </c>
      <c r="O157" t="s">
        <v>11</v>
      </c>
      <c r="Q157" t="s">
        <v>325</v>
      </c>
      <c r="S157" t="s">
        <v>4</v>
      </c>
      <c r="T157" t="s">
        <v>326</v>
      </c>
      <c r="U157" t="s">
        <v>30</v>
      </c>
      <c r="V157">
        <v>17</v>
      </c>
      <c r="W157" t="s">
        <v>40</v>
      </c>
      <c r="X157" t="s">
        <v>521</v>
      </c>
      <c r="Y157" t="s">
        <v>8</v>
      </c>
      <c r="Z157" s="5" t="s">
        <v>969</v>
      </c>
      <c r="AA157" s="5" t="s">
        <v>1101</v>
      </c>
      <c r="AB157" t="s">
        <v>9</v>
      </c>
      <c r="AC157" s="2">
        <v>45573.648611111108</v>
      </c>
      <c r="AD157" s="2">
        <v>45573.648611111108</v>
      </c>
    </row>
    <row r="158" spans="1:30" x14ac:dyDescent="0.25">
      <c r="A158" t="s">
        <v>519</v>
      </c>
      <c r="B158" t="s">
        <v>1389</v>
      </c>
      <c r="C158" t="s">
        <v>522</v>
      </c>
      <c r="D158" t="s">
        <v>523</v>
      </c>
      <c r="E158" t="s">
        <v>46</v>
      </c>
      <c r="F158" t="s">
        <v>1184</v>
      </c>
      <c r="I158" s="5" t="s">
        <v>721</v>
      </c>
      <c r="J158" s="1">
        <v>41933</v>
      </c>
      <c r="K158" s="8">
        <v>62454513374</v>
      </c>
      <c r="O158" t="s">
        <v>2</v>
      </c>
      <c r="S158" t="s">
        <v>4</v>
      </c>
      <c r="T158" t="s">
        <v>327</v>
      </c>
      <c r="U158" t="s">
        <v>188</v>
      </c>
      <c r="V158">
        <v>25</v>
      </c>
      <c r="W158" t="s">
        <v>7</v>
      </c>
      <c r="X158" t="s">
        <v>521</v>
      </c>
      <c r="Y158" t="s">
        <v>8</v>
      </c>
      <c r="Z158" s="5" t="s">
        <v>970</v>
      </c>
      <c r="AA158" s="5" t="s">
        <v>1302</v>
      </c>
      <c r="AB158" t="s">
        <v>9</v>
      </c>
      <c r="AC158" s="2">
        <v>45569.376388888886</v>
      </c>
      <c r="AD158" s="2">
        <v>45569.376388888886</v>
      </c>
    </row>
    <row r="159" spans="1:30" x14ac:dyDescent="0.25">
      <c r="A159" t="s">
        <v>519</v>
      </c>
      <c r="B159" t="s">
        <v>1389</v>
      </c>
      <c r="C159" t="s">
        <v>522</v>
      </c>
      <c r="D159" t="s">
        <v>523</v>
      </c>
      <c r="E159" t="s">
        <v>23</v>
      </c>
      <c r="F159" t="s">
        <v>1184</v>
      </c>
      <c r="I159" s="5" t="s">
        <v>848</v>
      </c>
      <c r="J159" s="1">
        <v>41710</v>
      </c>
      <c r="K159" s="8">
        <v>62496963343</v>
      </c>
      <c r="O159" t="s">
        <v>11</v>
      </c>
      <c r="S159" t="s">
        <v>4</v>
      </c>
      <c r="T159" t="s">
        <v>183</v>
      </c>
      <c r="U159" t="s">
        <v>142</v>
      </c>
      <c r="V159">
        <v>76</v>
      </c>
      <c r="W159" t="s">
        <v>328</v>
      </c>
      <c r="X159" t="s">
        <v>521</v>
      </c>
      <c r="Y159" t="s">
        <v>8</v>
      </c>
      <c r="Z159" s="5" t="s">
        <v>1303</v>
      </c>
      <c r="AA159" s="5" t="s">
        <v>1102</v>
      </c>
      <c r="AB159" t="s">
        <v>9</v>
      </c>
      <c r="AC159" s="2">
        <v>45574.380555555559</v>
      </c>
      <c r="AD159" s="2">
        <v>45574.380555555559</v>
      </c>
    </row>
    <row r="160" spans="1:30" x14ac:dyDescent="0.25">
      <c r="A160" t="s">
        <v>519</v>
      </c>
      <c r="B160" t="s">
        <v>1388</v>
      </c>
      <c r="C160" t="s">
        <v>520</v>
      </c>
      <c r="D160" t="s">
        <v>523</v>
      </c>
      <c r="E160" t="s">
        <v>1391</v>
      </c>
      <c r="F160" t="s">
        <v>106</v>
      </c>
      <c r="I160" s="5" t="s">
        <v>722</v>
      </c>
      <c r="J160" s="1">
        <v>39992</v>
      </c>
      <c r="K160" s="8">
        <v>61696624339</v>
      </c>
      <c r="L160" s="7">
        <v>510670520145</v>
      </c>
      <c r="M160" t="s">
        <v>1</v>
      </c>
      <c r="N160" s="1">
        <v>41648</v>
      </c>
      <c r="O160" t="s">
        <v>11</v>
      </c>
      <c r="Q160" t="s">
        <v>329</v>
      </c>
      <c r="S160" t="s">
        <v>4</v>
      </c>
      <c r="T160" t="s">
        <v>50</v>
      </c>
      <c r="U160" t="s">
        <v>30</v>
      </c>
      <c r="W160" t="s">
        <v>31</v>
      </c>
      <c r="X160" t="s">
        <v>521</v>
      </c>
      <c r="Y160" t="s">
        <v>8</v>
      </c>
      <c r="Z160" s="5" t="s">
        <v>971</v>
      </c>
      <c r="AA160" s="5" t="s">
        <v>1103</v>
      </c>
      <c r="AB160" t="s">
        <v>9</v>
      </c>
      <c r="AC160" s="2">
        <v>45573.629166666666</v>
      </c>
      <c r="AD160" s="2">
        <v>45573.629166666666</v>
      </c>
    </row>
    <row r="161" spans="1:30" x14ac:dyDescent="0.25">
      <c r="A161" t="s">
        <v>519</v>
      </c>
      <c r="B161" t="s">
        <v>1389</v>
      </c>
      <c r="C161" t="s">
        <v>522</v>
      </c>
      <c r="D161" t="s">
        <v>523</v>
      </c>
      <c r="E161" t="s">
        <v>46</v>
      </c>
      <c r="F161" t="s">
        <v>1184</v>
      </c>
      <c r="I161" s="5" t="s">
        <v>849</v>
      </c>
      <c r="J161" s="1">
        <v>41909</v>
      </c>
      <c r="K161" s="8">
        <v>63375997302</v>
      </c>
      <c r="O161" t="s">
        <v>11</v>
      </c>
      <c r="S161" t="s">
        <v>20</v>
      </c>
      <c r="T161" t="s">
        <v>330</v>
      </c>
      <c r="U161" t="s">
        <v>176</v>
      </c>
      <c r="V161">
        <v>2</v>
      </c>
      <c r="W161" t="s">
        <v>331</v>
      </c>
      <c r="X161" t="s">
        <v>1387</v>
      </c>
      <c r="Y161" t="s">
        <v>8</v>
      </c>
      <c r="Z161" s="5" t="s">
        <v>1304</v>
      </c>
      <c r="AA161" s="5" t="s">
        <v>1305</v>
      </c>
      <c r="AB161" t="s">
        <v>9</v>
      </c>
      <c r="AC161" s="2">
        <v>45569.379166666666</v>
      </c>
      <c r="AD161" s="2">
        <v>45569.379166666666</v>
      </c>
    </row>
    <row r="162" spans="1:30" x14ac:dyDescent="0.25">
      <c r="A162" t="s">
        <v>519</v>
      </c>
      <c r="B162" t="s">
        <v>1389</v>
      </c>
      <c r="C162" t="s">
        <v>522</v>
      </c>
      <c r="D162" t="s">
        <v>523</v>
      </c>
      <c r="E162" t="s">
        <v>18</v>
      </c>
      <c r="F162" t="s">
        <v>1184</v>
      </c>
      <c r="I162" s="5" t="s">
        <v>850</v>
      </c>
      <c r="J162" s="1">
        <v>42491</v>
      </c>
      <c r="K162" s="8">
        <v>62605670309</v>
      </c>
      <c r="O162" t="s">
        <v>11</v>
      </c>
      <c r="Q162" t="s">
        <v>332</v>
      </c>
      <c r="S162" t="s">
        <v>4</v>
      </c>
      <c r="T162" t="s">
        <v>333</v>
      </c>
      <c r="U162" t="s">
        <v>334</v>
      </c>
      <c r="V162">
        <v>7</v>
      </c>
      <c r="W162" t="s">
        <v>31</v>
      </c>
      <c r="X162" t="s">
        <v>521</v>
      </c>
      <c r="Y162" t="s">
        <v>8</v>
      </c>
      <c r="Z162" s="5" t="s">
        <v>972</v>
      </c>
      <c r="AA162" s="5" t="s">
        <v>1306</v>
      </c>
      <c r="AB162" t="s">
        <v>9</v>
      </c>
      <c r="AC162" s="2">
        <v>45567.432638888888</v>
      </c>
      <c r="AD162" s="2">
        <v>45567.436805555553</v>
      </c>
    </row>
    <row r="163" spans="1:30" x14ac:dyDescent="0.25">
      <c r="A163" t="s">
        <v>519</v>
      </c>
      <c r="B163" t="s">
        <v>1389</v>
      </c>
      <c r="C163" t="s">
        <v>522</v>
      </c>
      <c r="D163" t="s">
        <v>523</v>
      </c>
      <c r="E163" t="s">
        <v>10</v>
      </c>
      <c r="F163" t="s">
        <v>1184</v>
      </c>
      <c r="I163" s="5" t="s">
        <v>723</v>
      </c>
      <c r="J163" s="1">
        <v>42399</v>
      </c>
      <c r="K163" s="8">
        <v>8390145383</v>
      </c>
      <c r="O163" t="s">
        <v>11</v>
      </c>
      <c r="S163" t="s">
        <v>4</v>
      </c>
      <c r="T163" t="s">
        <v>335</v>
      </c>
      <c r="U163" t="s">
        <v>266</v>
      </c>
      <c r="V163">
        <v>8</v>
      </c>
      <c r="W163" t="s">
        <v>543</v>
      </c>
      <c r="X163" t="s">
        <v>521</v>
      </c>
      <c r="Y163" t="s">
        <v>8</v>
      </c>
      <c r="Z163" s="5" t="s">
        <v>973</v>
      </c>
      <c r="AA163" s="5" t="s">
        <v>1104</v>
      </c>
      <c r="AB163" t="s">
        <v>9</v>
      </c>
      <c r="AC163" s="2">
        <v>45568.376388888886</v>
      </c>
      <c r="AD163" s="2">
        <v>45568.376388888886</v>
      </c>
    </row>
    <row r="164" spans="1:30" x14ac:dyDescent="0.25">
      <c r="A164" t="s">
        <v>519</v>
      </c>
      <c r="B164" t="s">
        <v>1389</v>
      </c>
      <c r="C164" t="s">
        <v>522</v>
      </c>
      <c r="D164" t="s">
        <v>523</v>
      </c>
      <c r="E164" t="s">
        <v>18</v>
      </c>
      <c r="F164" t="s">
        <v>1184</v>
      </c>
      <c r="I164" s="5" t="s">
        <v>851</v>
      </c>
      <c r="J164" s="1">
        <v>42731</v>
      </c>
      <c r="K164" s="8">
        <v>63600258338</v>
      </c>
      <c r="O164" t="s">
        <v>11</v>
      </c>
      <c r="Q164" t="s">
        <v>336</v>
      </c>
      <c r="S164" t="s">
        <v>4</v>
      </c>
      <c r="T164" t="s">
        <v>136</v>
      </c>
      <c r="U164" t="s">
        <v>220</v>
      </c>
      <c r="V164">
        <v>28</v>
      </c>
      <c r="W164" t="s">
        <v>40</v>
      </c>
      <c r="X164" t="s">
        <v>521</v>
      </c>
      <c r="Y164" t="s">
        <v>8</v>
      </c>
      <c r="Z164" s="5" t="s">
        <v>1307</v>
      </c>
      <c r="AA164" s="5" t="s">
        <v>1105</v>
      </c>
      <c r="AB164" t="s">
        <v>9</v>
      </c>
      <c r="AC164" s="2">
        <v>45567.44027777778</v>
      </c>
      <c r="AD164" s="2">
        <v>45567.44027777778</v>
      </c>
    </row>
    <row r="165" spans="1:30" x14ac:dyDescent="0.25">
      <c r="A165" t="s">
        <v>519</v>
      </c>
      <c r="B165" t="s">
        <v>1388</v>
      </c>
      <c r="C165" t="s">
        <v>520</v>
      </c>
      <c r="D165" t="s">
        <v>523</v>
      </c>
      <c r="E165" t="s">
        <v>27</v>
      </c>
      <c r="F165" t="s">
        <v>1184</v>
      </c>
      <c r="I165" s="5" t="s">
        <v>852</v>
      </c>
      <c r="J165" s="1">
        <v>40747</v>
      </c>
      <c r="K165" s="8">
        <v>62052752366</v>
      </c>
      <c r="L165" s="7">
        <v>547459120147</v>
      </c>
      <c r="M165" t="s">
        <v>1</v>
      </c>
      <c r="N165" s="1">
        <v>41982</v>
      </c>
      <c r="O165" t="s">
        <v>2</v>
      </c>
      <c r="Q165" t="s">
        <v>337</v>
      </c>
      <c r="S165" t="s">
        <v>4</v>
      </c>
      <c r="T165" t="s">
        <v>338</v>
      </c>
      <c r="U165" t="s">
        <v>6</v>
      </c>
      <c r="V165">
        <v>36</v>
      </c>
      <c r="W165" t="s">
        <v>31</v>
      </c>
      <c r="X165" t="s">
        <v>521</v>
      </c>
      <c r="Y165" t="s">
        <v>8</v>
      </c>
      <c r="Z165" s="5" t="s">
        <v>974</v>
      </c>
      <c r="AA165" s="5" t="s">
        <v>1308</v>
      </c>
      <c r="AB165" t="s">
        <v>9</v>
      </c>
      <c r="AC165" s="2">
        <v>45567.70208333333</v>
      </c>
      <c r="AD165" s="2">
        <v>45567.70208333333</v>
      </c>
    </row>
    <row r="166" spans="1:30" x14ac:dyDescent="0.25">
      <c r="A166" t="s">
        <v>519</v>
      </c>
      <c r="B166" t="s">
        <v>1388</v>
      </c>
      <c r="C166" t="s">
        <v>520</v>
      </c>
      <c r="D166" t="s">
        <v>523</v>
      </c>
      <c r="E166" t="s">
        <v>27</v>
      </c>
      <c r="F166" t="s">
        <v>1184</v>
      </c>
      <c r="I166" s="5" t="s">
        <v>724</v>
      </c>
      <c r="J166" s="1">
        <v>40895</v>
      </c>
      <c r="K166" s="8">
        <v>62058493303</v>
      </c>
      <c r="L166" s="7">
        <v>548060620143</v>
      </c>
      <c r="M166" t="s">
        <v>1</v>
      </c>
      <c r="N166" s="1">
        <v>41988</v>
      </c>
      <c r="O166" t="s">
        <v>11</v>
      </c>
      <c r="Q166" t="s">
        <v>339</v>
      </c>
      <c r="S166" t="s">
        <v>4</v>
      </c>
      <c r="T166" t="s">
        <v>340</v>
      </c>
      <c r="U166" t="s">
        <v>30</v>
      </c>
      <c r="V166">
        <v>13</v>
      </c>
      <c r="W166" t="s">
        <v>40</v>
      </c>
      <c r="X166" t="s">
        <v>521</v>
      </c>
      <c r="Y166" t="s">
        <v>8</v>
      </c>
      <c r="Z166" s="5" t="s">
        <v>975</v>
      </c>
      <c r="AA166" t="s">
        <v>1184</v>
      </c>
      <c r="AB166" t="s">
        <v>9</v>
      </c>
      <c r="AC166" s="2">
        <v>45568.654166666667</v>
      </c>
      <c r="AD166" s="2">
        <v>45568.654166666667</v>
      </c>
    </row>
    <row r="167" spans="1:30" x14ac:dyDescent="0.25">
      <c r="A167" t="s">
        <v>519</v>
      </c>
      <c r="B167" t="s">
        <v>1388</v>
      </c>
      <c r="C167" t="s">
        <v>520</v>
      </c>
      <c r="D167" t="s">
        <v>523</v>
      </c>
      <c r="E167" t="s">
        <v>16</v>
      </c>
      <c r="F167" t="s">
        <v>1184</v>
      </c>
      <c r="I167" s="5" t="s">
        <v>725</v>
      </c>
      <c r="J167" s="1">
        <v>40579</v>
      </c>
      <c r="K167" s="8">
        <v>62332749314</v>
      </c>
      <c r="L167" s="7">
        <v>577360020159</v>
      </c>
      <c r="M167" t="s">
        <v>1</v>
      </c>
      <c r="N167" s="1">
        <v>42355</v>
      </c>
      <c r="O167" t="s">
        <v>2</v>
      </c>
      <c r="S167" t="s">
        <v>4</v>
      </c>
      <c r="T167" t="s">
        <v>139</v>
      </c>
      <c r="U167" t="s">
        <v>30</v>
      </c>
      <c r="V167">
        <v>7118</v>
      </c>
      <c r="W167" t="s">
        <v>529</v>
      </c>
      <c r="X167" t="s">
        <v>521</v>
      </c>
      <c r="Y167" t="s">
        <v>8</v>
      </c>
      <c r="Z167" s="5" t="s">
        <v>921</v>
      </c>
      <c r="AA167" s="5" t="s">
        <v>1059</v>
      </c>
      <c r="AB167" t="s">
        <v>9</v>
      </c>
      <c r="AC167" s="2">
        <v>45581.611805555556</v>
      </c>
      <c r="AD167" s="2">
        <v>45583.321527777778</v>
      </c>
    </row>
    <row r="168" spans="1:30" x14ac:dyDescent="0.25">
      <c r="A168" t="s">
        <v>519</v>
      </c>
      <c r="B168" t="s">
        <v>1389</v>
      </c>
      <c r="C168" t="s">
        <v>522</v>
      </c>
      <c r="D168" t="s">
        <v>523</v>
      </c>
      <c r="E168" t="s">
        <v>23</v>
      </c>
      <c r="F168" t="s">
        <v>1184</v>
      </c>
      <c r="I168" s="5" t="s">
        <v>726</v>
      </c>
      <c r="J168" s="1">
        <v>41452</v>
      </c>
      <c r="K168" s="8">
        <v>62101747367</v>
      </c>
      <c r="O168" t="s">
        <v>11</v>
      </c>
      <c r="S168" t="s">
        <v>4</v>
      </c>
      <c r="T168" t="s">
        <v>21</v>
      </c>
      <c r="U168" t="s">
        <v>6</v>
      </c>
      <c r="V168">
        <v>9</v>
      </c>
      <c r="W168" t="s">
        <v>121</v>
      </c>
      <c r="X168" t="s">
        <v>521</v>
      </c>
      <c r="Y168" t="s">
        <v>8</v>
      </c>
      <c r="Z168" s="5" t="s">
        <v>1309</v>
      </c>
      <c r="AA168" s="5" t="s">
        <v>1106</v>
      </c>
      <c r="AB168" t="s">
        <v>9</v>
      </c>
      <c r="AC168" s="2">
        <v>45574.382638888892</v>
      </c>
      <c r="AD168" s="2">
        <v>45574.382638888892</v>
      </c>
    </row>
    <row r="169" spans="1:30" x14ac:dyDescent="0.25">
      <c r="A169" t="s">
        <v>519</v>
      </c>
      <c r="B169" t="s">
        <v>1388</v>
      </c>
      <c r="C169" t="s">
        <v>520</v>
      </c>
      <c r="D169" t="s">
        <v>523</v>
      </c>
      <c r="E169" t="s">
        <v>1391</v>
      </c>
      <c r="F169" t="s">
        <v>1390</v>
      </c>
      <c r="I169" s="5" t="s">
        <v>727</v>
      </c>
      <c r="J169" s="1">
        <v>40072</v>
      </c>
      <c r="K169" s="8">
        <v>62329565321</v>
      </c>
      <c r="L169" s="7">
        <v>576906920155</v>
      </c>
      <c r="M169" t="s">
        <v>1</v>
      </c>
      <c r="N169" s="1">
        <v>42353</v>
      </c>
      <c r="O169" t="s">
        <v>11</v>
      </c>
      <c r="Q169" t="s">
        <v>341</v>
      </c>
      <c r="S169" t="s">
        <v>20</v>
      </c>
      <c r="T169" t="s">
        <v>342</v>
      </c>
      <c r="U169" t="s">
        <v>30</v>
      </c>
      <c r="V169">
        <v>200</v>
      </c>
      <c r="W169" t="s">
        <v>22</v>
      </c>
      <c r="X169" t="s">
        <v>1387</v>
      </c>
      <c r="Y169" t="s">
        <v>8</v>
      </c>
      <c r="Z169" s="5" t="s">
        <v>976</v>
      </c>
      <c r="AA169" t="s">
        <v>1184</v>
      </c>
      <c r="AB169" t="s">
        <v>9</v>
      </c>
      <c r="AC169" s="2">
        <v>45574.706250000003</v>
      </c>
      <c r="AD169" s="2">
        <v>45574.706250000003</v>
      </c>
    </row>
    <row r="170" spans="1:30" x14ac:dyDescent="0.25">
      <c r="A170" t="s">
        <v>519</v>
      </c>
      <c r="B170" t="s">
        <v>1389</v>
      </c>
      <c r="C170" t="s">
        <v>522</v>
      </c>
      <c r="D170" t="s">
        <v>523</v>
      </c>
      <c r="E170" t="s">
        <v>23</v>
      </c>
      <c r="F170" t="s">
        <v>1184</v>
      </c>
      <c r="I170" s="5" t="s">
        <v>728</v>
      </c>
      <c r="J170" s="1">
        <v>41486</v>
      </c>
      <c r="K170" s="8">
        <v>62075006369</v>
      </c>
      <c r="O170" t="s">
        <v>11</v>
      </c>
      <c r="S170" t="s">
        <v>4</v>
      </c>
      <c r="T170" t="s">
        <v>343</v>
      </c>
      <c r="U170" t="s">
        <v>344</v>
      </c>
      <c r="V170">
        <v>28</v>
      </c>
      <c r="W170" t="s">
        <v>173</v>
      </c>
      <c r="X170" t="s">
        <v>521</v>
      </c>
      <c r="Y170" t="s">
        <v>8</v>
      </c>
      <c r="Z170" s="5" t="s">
        <v>977</v>
      </c>
      <c r="AA170" s="5" t="s">
        <v>1310</v>
      </c>
      <c r="AB170" t="s">
        <v>9</v>
      </c>
      <c r="AC170" s="2">
        <v>45574.384722222225</v>
      </c>
      <c r="AD170" s="2">
        <v>45574.384722222225</v>
      </c>
    </row>
    <row r="171" spans="1:30" x14ac:dyDescent="0.25">
      <c r="A171" t="s">
        <v>519</v>
      </c>
      <c r="B171" t="s">
        <v>1389</v>
      </c>
      <c r="C171" t="s">
        <v>522</v>
      </c>
      <c r="D171" t="s">
        <v>523</v>
      </c>
      <c r="E171" t="s">
        <v>23</v>
      </c>
      <c r="F171" t="s">
        <v>1184</v>
      </c>
      <c r="I171" s="5" t="s">
        <v>729</v>
      </c>
      <c r="J171" s="1">
        <v>41452</v>
      </c>
      <c r="K171" s="8">
        <v>7283355308</v>
      </c>
      <c r="O171" t="s">
        <v>11</v>
      </c>
      <c r="S171" t="s">
        <v>4</v>
      </c>
      <c r="T171" t="s">
        <v>345</v>
      </c>
      <c r="U171" t="s">
        <v>6</v>
      </c>
      <c r="V171">
        <v>45</v>
      </c>
      <c r="W171" t="s">
        <v>541</v>
      </c>
      <c r="X171" t="s">
        <v>521</v>
      </c>
      <c r="Y171" t="s">
        <v>8</v>
      </c>
      <c r="Z171" s="5" t="s">
        <v>1172</v>
      </c>
      <c r="AA171" s="5" t="s">
        <v>1107</v>
      </c>
      <c r="AB171" t="s">
        <v>9</v>
      </c>
      <c r="AC171" s="2">
        <v>45574.386805555558</v>
      </c>
      <c r="AD171" s="2">
        <v>45574.386805555558</v>
      </c>
    </row>
    <row r="172" spans="1:30" x14ac:dyDescent="0.25">
      <c r="A172" t="s">
        <v>519</v>
      </c>
      <c r="B172" t="s">
        <v>1389</v>
      </c>
      <c r="C172" t="s">
        <v>522</v>
      </c>
      <c r="D172" t="s">
        <v>523</v>
      </c>
      <c r="E172" t="s">
        <v>46</v>
      </c>
      <c r="F172" t="s">
        <v>1184</v>
      </c>
      <c r="I172" s="5" t="s">
        <v>730</v>
      </c>
      <c r="J172" s="1">
        <v>42075</v>
      </c>
      <c r="K172" s="8">
        <v>8025224325</v>
      </c>
      <c r="O172" t="s">
        <v>2</v>
      </c>
      <c r="S172" t="s">
        <v>4</v>
      </c>
      <c r="T172" t="s">
        <v>346</v>
      </c>
      <c r="U172" t="s">
        <v>347</v>
      </c>
      <c r="V172">
        <v>9</v>
      </c>
      <c r="W172" t="s">
        <v>37</v>
      </c>
      <c r="X172" t="s">
        <v>521</v>
      </c>
      <c r="Y172" t="s">
        <v>8</v>
      </c>
      <c r="Z172" s="5" t="s">
        <v>1311</v>
      </c>
      <c r="AA172" s="5" t="s">
        <v>1312</v>
      </c>
      <c r="AB172" t="s">
        <v>9</v>
      </c>
      <c r="AC172" s="2">
        <v>45569.380555555559</v>
      </c>
      <c r="AD172" s="2">
        <v>45569.380555555559</v>
      </c>
    </row>
    <row r="173" spans="1:30" x14ac:dyDescent="0.25">
      <c r="A173" t="s">
        <v>519</v>
      </c>
      <c r="B173" t="s">
        <v>1388</v>
      </c>
      <c r="C173" t="s">
        <v>520</v>
      </c>
      <c r="D173" t="s">
        <v>523</v>
      </c>
      <c r="E173" t="s">
        <v>16</v>
      </c>
      <c r="F173" t="s">
        <v>1184</v>
      </c>
      <c r="I173" s="5" t="s">
        <v>731</v>
      </c>
      <c r="J173" s="1">
        <v>40279</v>
      </c>
      <c r="K173" s="8">
        <v>61534848320</v>
      </c>
      <c r="O173" t="s">
        <v>2</v>
      </c>
      <c r="S173" t="s">
        <v>4</v>
      </c>
      <c r="T173" t="s">
        <v>348</v>
      </c>
      <c r="U173" t="s">
        <v>48</v>
      </c>
      <c r="V173">
        <v>9</v>
      </c>
      <c r="W173" t="s">
        <v>37</v>
      </c>
      <c r="X173" t="s">
        <v>521</v>
      </c>
      <c r="Y173" t="s">
        <v>8</v>
      </c>
      <c r="Z173" s="5" t="s">
        <v>978</v>
      </c>
      <c r="AA173" s="5" t="s">
        <v>1313</v>
      </c>
      <c r="AB173" t="s">
        <v>9</v>
      </c>
      <c r="AC173" s="2">
        <v>45581.413194444445</v>
      </c>
      <c r="AD173" s="2">
        <v>45581.413194444445</v>
      </c>
    </row>
    <row r="174" spans="1:30" x14ac:dyDescent="0.25">
      <c r="A174" t="s">
        <v>519</v>
      </c>
      <c r="B174" t="s">
        <v>1389</v>
      </c>
      <c r="C174" t="s">
        <v>522</v>
      </c>
      <c r="D174" t="s">
        <v>523</v>
      </c>
      <c r="E174" t="s">
        <v>102</v>
      </c>
      <c r="F174" t="s">
        <v>1184</v>
      </c>
      <c r="I174" s="5" t="s">
        <v>732</v>
      </c>
      <c r="J174" s="1">
        <v>42883</v>
      </c>
      <c r="K174" s="8">
        <v>5781191372</v>
      </c>
      <c r="O174" t="s">
        <v>2</v>
      </c>
      <c r="P174" t="s">
        <v>349</v>
      </c>
      <c r="S174" t="s">
        <v>4</v>
      </c>
      <c r="T174" t="s">
        <v>350</v>
      </c>
      <c r="U174" t="s">
        <v>30</v>
      </c>
      <c r="W174" t="s">
        <v>22</v>
      </c>
      <c r="X174" t="s">
        <v>521</v>
      </c>
      <c r="Y174" t="s">
        <v>8</v>
      </c>
      <c r="Z174" s="5" t="s">
        <v>979</v>
      </c>
      <c r="AA174" s="5" t="s">
        <v>1108</v>
      </c>
      <c r="AB174" t="s">
        <v>9</v>
      </c>
      <c r="AC174" s="2">
        <v>45567.336111111108</v>
      </c>
      <c r="AD174" s="2">
        <v>45567.436805555553</v>
      </c>
    </row>
    <row r="175" spans="1:30" x14ac:dyDescent="0.25">
      <c r="A175" t="s">
        <v>519</v>
      </c>
      <c r="B175" t="s">
        <v>1388</v>
      </c>
      <c r="C175" t="s">
        <v>520</v>
      </c>
      <c r="D175" t="s">
        <v>523</v>
      </c>
      <c r="E175" t="s">
        <v>27</v>
      </c>
      <c r="F175" t="s">
        <v>1184</v>
      </c>
      <c r="I175" s="5" t="s">
        <v>733</v>
      </c>
      <c r="J175" s="1">
        <v>40637</v>
      </c>
      <c r="K175" s="8">
        <v>62101655322</v>
      </c>
      <c r="L175" s="7">
        <v>636950220170</v>
      </c>
      <c r="M175" t="s">
        <v>1</v>
      </c>
      <c r="N175" s="1">
        <v>43032</v>
      </c>
      <c r="O175" t="s">
        <v>2</v>
      </c>
      <c r="Q175" t="s">
        <v>351</v>
      </c>
      <c r="S175" t="s">
        <v>4</v>
      </c>
      <c r="T175" t="s">
        <v>352</v>
      </c>
      <c r="U175" t="s">
        <v>6</v>
      </c>
      <c r="V175">
        <v>9</v>
      </c>
      <c r="W175" t="s">
        <v>121</v>
      </c>
      <c r="X175" t="s">
        <v>521</v>
      </c>
      <c r="Y175" t="s">
        <v>8</v>
      </c>
      <c r="Z175" s="5" t="s">
        <v>1309</v>
      </c>
      <c r="AA175" t="s">
        <v>1184</v>
      </c>
      <c r="AB175" t="s">
        <v>9</v>
      </c>
      <c r="AC175" s="2">
        <v>45568.665972222225</v>
      </c>
      <c r="AD175" s="2">
        <v>45568.665972222225</v>
      </c>
    </row>
    <row r="176" spans="1:30" x14ac:dyDescent="0.25">
      <c r="A176" t="s">
        <v>519</v>
      </c>
      <c r="B176" t="s">
        <v>1388</v>
      </c>
      <c r="C176" t="s">
        <v>520</v>
      </c>
      <c r="D176" t="s">
        <v>523</v>
      </c>
      <c r="E176" t="s">
        <v>27</v>
      </c>
      <c r="F176" t="s">
        <v>1184</v>
      </c>
      <c r="I176" s="5" t="s">
        <v>853</v>
      </c>
      <c r="J176" s="1">
        <v>40638</v>
      </c>
      <c r="K176" s="8">
        <v>61959541366</v>
      </c>
      <c r="L176" s="7">
        <v>537309320140</v>
      </c>
      <c r="M176" t="s">
        <v>1</v>
      </c>
      <c r="N176" s="1">
        <v>41879</v>
      </c>
      <c r="O176" t="s">
        <v>2</v>
      </c>
      <c r="Q176" t="s">
        <v>353</v>
      </c>
      <c r="S176" t="s">
        <v>4</v>
      </c>
      <c r="T176" t="s">
        <v>354</v>
      </c>
      <c r="U176" t="s">
        <v>59</v>
      </c>
      <c r="V176">
        <v>14</v>
      </c>
      <c r="W176" t="s">
        <v>37</v>
      </c>
      <c r="X176" t="s">
        <v>521</v>
      </c>
      <c r="Y176" t="s">
        <v>8</v>
      </c>
      <c r="Z176" s="5" t="s">
        <v>1314</v>
      </c>
      <c r="AA176" s="5" t="s">
        <v>1315</v>
      </c>
      <c r="AB176" t="s">
        <v>9</v>
      </c>
      <c r="AC176" s="2">
        <v>45568.602083333331</v>
      </c>
      <c r="AD176" s="2">
        <v>45568.602083333331</v>
      </c>
    </row>
    <row r="177" spans="1:30" x14ac:dyDescent="0.25">
      <c r="A177" t="s">
        <v>519</v>
      </c>
      <c r="B177" t="s">
        <v>1388</v>
      </c>
      <c r="C177" t="s">
        <v>520</v>
      </c>
      <c r="D177" t="s">
        <v>523</v>
      </c>
      <c r="E177" t="s">
        <v>0</v>
      </c>
      <c r="F177" t="s">
        <v>1184</v>
      </c>
      <c r="I177" s="5" t="s">
        <v>854</v>
      </c>
      <c r="J177" s="1">
        <v>40420</v>
      </c>
      <c r="K177" s="8">
        <v>62580480307</v>
      </c>
      <c r="L177" s="7">
        <v>609174820175</v>
      </c>
      <c r="M177" t="s">
        <v>1</v>
      </c>
      <c r="N177" s="1">
        <v>42740</v>
      </c>
      <c r="O177" t="s">
        <v>2</v>
      </c>
      <c r="Q177" t="s">
        <v>355</v>
      </c>
      <c r="S177" t="s">
        <v>4</v>
      </c>
      <c r="T177" t="s">
        <v>356</v>
      </c>
      <c r="U177" t="s">
        <v>30</v>
      </c>
      <c r="V177">
        <v>5</v>
      </c>
      <c r="W177" t="s">
        <v>31</v>
      </c>
      <c r="X177" t="s">
        <v>521</v>
      </c>
      <c r="Y177" t="s">
        <v>8</v>
      </c>
      <c r="Z177" s="5" t="s">
        <v>1316</v>
      </c>
      <c r="AA177" t="s">
        <v>1184</v>
      </c>
      <c r="AB177" t="s">
        <v>9</v>
      </c>
      <c r="AC177" s="2">
        <v>45566.571527777778</v>
      </c>
      <c r="AD177" s="2">
        <v>45566.571527777778</v>
      </c>
    </row>
    <row r="178" spans="1:30" x14ac:dyDescent="0.25">
      <c r="A178" t="s">
        <v>519</v>
      </c>
      <c r="B178" t="s">
        <v>1389</v>
      </c>
      <c r="C178" t="s">
        <v>522</v>
      </c>
      <c r="D178" t="s">
        <v>523</v>
      </c>
      <c r="E178" t="s">
        <v>18</v>
      </c>
      <c r="F178" t="s">
        <v>1184</v>
      </c>
      <c r="I178" s="5" t="s">
        <v>855</v>
      </c>
      <c r="J178" s="1">
        <v>42615</v>
      </c>
      <c r="K178" s="8">
        <v>8690373314</v>
      </c>
      <c r="O178" t="s">
        <v>2</v>
      </c>
      <c r="Q178" t="s">
        <v>357</v>
      </c>
      <c r="S178" t="s">
        <v>4</v>
      </c>
      <c r="T178" t="s">
        <v>72</v>
      </c>
      <c r="U178" t="s">
        <v>73</v>
      </c>
      <c r="V178">
        <v>18</v>
      </c>
      <c r="W178" t="s">
        <v>31</v>
      </c>
      <c r="X178" t="s">
        <v>521</v>
      </c>
      <c r="Y178" t="s">
        <v>8</v>
      </c>
      <c r="Z178" s="5" t="s">
        <v>1317</v>
      </c>
      <c r="AA178" s="5" t="s">
        <v>1318</v>
      </c>
      <c r="AB178" t="s">
        <v>9</v>
      </c>
      <c r="AC178" s="2">
        <v>45567.470138888886</v>
      </c>
      <c r="AD178" s="2">
        <v>45567.470138888886</v>
      </c>
    </row>
    <row r="179" spans="1:30" x14ac:dyDescent="0.25">
      <c r="A179" t="s">
        <v>519</v>
      </c>
      <c r="B179" t="s">
        <v>1388</v>
      </c>
      <c r="C179" t="s">
        <v>520</v>
      </c>
      <c r="D179" t="s">
        <v>523</v>
      </c>
      <c r="E179" t="s">
        <v>16</v>
      </c>
      <c r="F179" t="s">
        <v>1184</v>
      </c>
      <c r="I179" s="5" t="s">
        <v>734</v>
      </c>
      <c r="J179" s="1">
        <v>40066</v>
      </c>
      <c r="K179" s="8">
        <v>61977458360</v>
      </c>
      <c r="O179" t="s">
        <v>11</v>
      </c>
      <c r="S179" t="s">
        <v>4</v>
      </c>
      <c r="T179" t="s">
        <v>358</v>
      </c>
      <c r="U179" t="s">
        <v>78</v>
      </c>
      <c r="V179">
        <v>17</v>
      </c>
      <c r="W179" t="s">
        <v>544</v>
      </c>
      <c r="X179" t="s">
        <v>521</v>
      </c>
      <c r="Y179" t="s">
        <v>8</v>
      </c>
      <c r="Z179" s="5" t="s">
        <v>1319</v>
      </c>
      <c r="AA179" s="5" t="s">
        <v>1109</v>
      </c>
      <c r="AB179" t="s">
        <v>9</v>
      </c>
      <c r="AC179" s="2">
        <v>45582.429166666669</v>
      </c>
      <c r="AD179" s="2">
        <v>45582.429166666669</v>
      </c>
    </row>
    <row r="180" spans="1:30" x14ac:dyDescent="0.25">
      <c r="A180" t="s">
        <v>519</v>
      </c>
      <c r="B180" t="s">
        <v>1389</v>
      </c>
      <c r="C180" t="s">
        <v>522</v>
      </c>
      <c r="D180" t="s">
        <v>523</v>
      </c>
      <c r="E180" t="s">
        <v>18</v>
      </c>
      <c r="F180" t="s">
        <v>1184</v>
      </c>
      <c r="I180" s="5" t="s">
        <v>856</v>
      </c>
      <c r="J180" s="1">
        <v>42735</v>
      </c>
      <c r="K180" s="8">
        <v>63332867377</v>
      </c>
      <c r="O180" t="s">
        <v>11</v>
      </c>
      <c r="Q180" t="s">
        <v>359</v>
      </c>
      <c r="S180" t="s">
        <v>4</v>
      </c>
      <c r="T180" t="s">
        <v>47</v>
      </c>
      <c r="U180" t="s">
        <v>48</v>
      </c>
      <c r="V180">
        <v>38</v>
      </c>
      <c r="W180" t="s">
        <v>40</v>
      </c>
      <c r="X180" t="s">
        <v>521</v>
      </c>
      <c r="Y180" t="s">
        <v>8</v>
      </c>
      <c r="Z180" s="5" t="s">
        <v>1189</v>
      </c>
      <c r="AA180" s="5" t="s">
        <v>1190</v>
      </c>
      <c r="AB180" t="s">
        <v>9</v>
      </c>
      <c r="AC180" s="2">
        <v>45567.473611111112</v>
      </c>
      <c r="AD180" s="2">
        <v>45567.473611111112</v>
      </c>
    </row>
    <row r="181" spans="1:30" x14ac:dyDescent="0.25">
      <c r="A181" t="s">
        <v>519</v>
      </c>
      <c r="B181" t="s">
        <v>1389</v>
      </c>
      <c r="C181" t="s">
        <v>522</v>
      </c>
      <c r="D181" t="s">
        <v>523</v>
      </c>
      <c r="E181" t="s">
        <v>23</v>
      </c>
      <c r="F181" t="s">
        <v>1184</v>
      </c>
      <c r="I181" s="5" t="s">
        <v>735</v>
      </c>
      <c r="J181" s="1">
        <v>41448</v>
      </c>
      <c r="K181" s="8">
        <v>62383943312</v>
      </c>
      <c r="O181" t="s">
        <v>11</v>
      </c>
      <c r="S181" t="s">
        <v>4</v>
      </c>
      <c r="T181" t="s">
        <v>360</v>
      </c>
      <c r="U181" t="s">
        <v>73</v>
      </c>
      <c r="V181">
        <v>24</v>
      </c>
      <c r="W181" t="s">
        <v>31</v>
      </c>
      <c r="X181" t="s">
        <v>521</v>
      </c>
      <c r="Y181" t="s">
        <v>8</v>
      </c>
      <c r="Z181" s="5" t="s">
        <v>980</v>
      </c>
      <c r="AA181" s="5" t="s">
        <v>1320</v>
      </c>
      <c r="AB181" t="s">
        <v>9</v>
      </c>
      <c r="AC181" s="2">
        <v>45574.399305555555</v>
      </c>
      <c r="AD181" s="2">
        <v>45574.399305555555</v>
      </c>
    </row>
    <row r="182" spans="1:30" x14ac:dyDescent="0.25">
      <c r="A182" t="s">
        <v>519</v>
      </c>
      <c r="B182" t="s">
        <v>1389</v>
      </c>
      <c r="C182" t="s">
        <v>522</v>
      </c>
      <c r="D182" t="s">
        <v>523</v>
      </c>
      <c r="E182" t="s">
        <v>46</v>
      </c>
      <c r="F182" t="s">
        <v>1184</v>
      </c>
      <c r="I182" s="5" t="s">
        <v>736</v>
      </c>
      <c r="J182" s="1">
        <v>41425</v>
      </c>
      <c r="K182" s="8">
        <v>62099649316</v>
      </c>
      <c r="O182" t="s">
        <v>2</v>
      </c>
      <c r="S182" t="s">
        <v>4</v>
      </c>
      <c r="T182" t="s">
        <v>178</v>
      </c>
      <c r="U182" t="s">
        <v>86</v>
      </c>
      <c r="V182">
        <v>41</v>
      </c>
      <c r="W182" t="s">
        <v>537</v>
      </c>
      <c r="X182" t="s">
        <v>521</v>
      </c>
      <c r="Y182" t="s">
        <v>8</v>
      </c>
      <c r="Z182" s="5" t="s">
        <v>1232</v>
      </c>
      <c r="AA182" s="5" t="s">
        <v>1110</v>
      </c>
      <c r="AB182" t="s">
        <v>9</v>
      </c>
      <c r="AC182" s="2">
        <v>45569.381944444445</v>
      </c>
      <c r="AD182" s="2">
        <v>45569.381944444445</v>
      </c>
    </row>
    <row r="183" spans="1:30" x14ac:dyDescent="0.25">
      <c r="A183" t="s">
        <v>519</v>
      </c>
      <c r="B183" t="s">
        <v>1389</v>
      </c>
      <c r="C183" t="s">
        <v>522</v>
      </c>
      <c r="D183" t="s">
        <v>523</v>
      </c>
      <c r="E183" t="s">
        <v>23</v>
      </c>
      <c r="F183" t="s">
        <v>1184</v>
      </c>
      <c r="I183" s="5" t="s">
        <v>737</v>
      </c>
      <c r="J183" s="1">
        <v>41579</v>
      </c>
      <c r="K183" s="8">
        <v>62079404318</v>
      </c>
      <c r="O183" t="s">
        <v>2</v>
      </c>
      <c r="S183" t="s">
        <v>4</v>
      </c>
      <c r="T183" t="s">
        <v>361</v>
      </c>
      <c r="U183" t="s">
        <v>219</v>
      </c>
      <c r="V183">
        <v>2</v>
      </c>
      <c r="W183" t="s">
        <v>31</v>
      </c>
      <c r="X183" t="s">
        <v>521</v>
      </c>
      <c r="Y183" t="s">
        <v>8</v>
      </c>
      <c r="Z183" s="5" t="s">
        <v>981</v>
      </c>
      <c r="AA183" s="5" t="s">
        <v>1111</v>
      </c>
      <c r="AB183" t="s">
        <v>9</v>
      </c>
      <c r="AC183" s="2">
        <v>45574.400000000001</v>
      </c>
      <c r="AD183" s="2">
        <v>45574.400000000001</v>
      </c>
    </row>
    <row r="184" spans="1:30" x14ac:dyDescent="0.25">
      <c r="A184" t="s">
        <v>519</v>
      </c>
      <c r="B184" t="s">
        <v>1388</v>
      </c>
      <c r="C184" t="s">
        <v>520</v>
      </c>
      <c r="D184" t="s">
        <v>523</v>
      </c>
      <c r="E184" t="s">
        <v>27</v>
      </c>
      <c r="F184" t="s">
        <v>1184</v>
      </c>
      <c r="I184" s="5" t="s">
        <v>738</v>
      </c>
      <c r="J184" s="1">
        <v>40927</v>
      </c>
      <c r="K184" s="8">
        <v>62062051344</v>
      </c>
      <c r="L184" s="7">
        <v>548533820144</v>
      </c>
      <c r="M184" t="s">
        <v>1</v>
      </c>
      <c r="N184" s="1">
        <v>41992</v>
      </c>
      <c r="O184" t="s">
        <v>11</v>
      </c>
      <c r="Q184" t="s">
        <v>362</v>
      </c>
      <c r="S184" t="s">
        <v>4</v>
      </c>
      <c r="T184" t="s">
        <v>363</v>
      </c>
      <c r="U184" t="s">
        <v>30</v>
      </c>
      <c r="V184">
        <v>13</v>
      </c>
      <c r="W184" t="s">
        <v>31</v>
      </c>
      <c r="X184" t="s">
        <v>521</v>
      </c>
      <c r="Y184" t="s">
        <v>8</v>
      </c>
      <c r="Z184" s="5" t="s">
        <v>1173</v>
      </c>
      <c r="AA184" s="5" t="s">
        <v>1112</v>
      </c>
      <c r="AB184" t="s">
        <v>9</v>
      </c>
      <c r="AC184" s="2">
        <v>45568.593055555553</v>
      </c>
      <c r="AD184" s="2">
        <v>45568.593055555553</v>
      </c>
    </row>
    <row r="185" spans="1:30" x14ac:dyDescent="0.25">
      <c r="A185" t="s">
        <v>519</v>
      </c>
      <c r="B185" t="s">
        <v>1388</v>
      </c>
      <c r="C185" t="s">
        <v>520</v>
      </c>
      <c r="D185" t="s">
        <v>523</v>
      </c>
      <c r="E185" t="s">
        <v>1391</v>
      </c>
      <c r="F185" t="s">
        <v>106</v>
      </c>
      <c r="I185" s="5" t="s">
        <v>857</v>
      </c>
      <c r="J185" s="1">
        <v>40238</v>
      </c>
      <c r="K185" s="8">
        <v>62647095302</v>
      </c>
      <c r="L185" s="7">
        <v>616660720170</v>
      </c>
      <c r="M185" t="s">
        <v>1</v>
      </c>
      <c r="N185" s="1">
        <v>43850</v>
      </c>
      <c r="O185" t="s">
        <v>11</v>
      </c>
      <c r="Q185" t="s">
        <v>364</v>
      </c>
      <c r="S185" t="s">
        <v>4</v>
      </c>
      <c r="T185" t="s">
        <v>365</v>
      </c>
      <c r="U185" t="s">
        <v>30</v>
      </c>
      <c r="V185">
        <v>8</v>
      </c>
      <c r="W185" t="s">
        <v>15</v>
      </c>
      <c r="X185" t="s">
        <v>521</v>
      </c>
      <c r="Y185" t="s">
        <v>8</v>
      </c>
      <c r="Z185" s="5" t="s">
        <v>1321</v>
      </c>
      <c r="AA185" s="5" t="s">
        <v>1113</v>
      </c>
      <c r="AB185" t="s">
        <v>9</v>
      </c>
      <c r="AC185" s="2">
        <v>45573.652083333334</v>
      </c>
      <c r="AD185" s="2">
        <v>45573.652083333334</v>
      </c>
    </row>
    <row r="186" spans="1:30" x14ac:dyDescent="0.25">
      <c r="A186" t="s">
        <v>519</v>
      </c>
      <c r="B186" t="s">
        <v>1388</v>
      </c>
      <c r="C186" t="s">
        <v>520</v>
      </c>
      <c r="D186" t="s">
        <v>523</v>
      </c>
      <c r="E186" t="s">
        <v>27</v>
      </c>
      <c r="F186" t="s">
        <v>1184</v>
      </c>
      <c r="I186" s="5" t="s">
        <v>739</v>
      </c>
      <c r="J186" s="1">
        <v>40847</v>
      </c>
      <c r="K186" s="8">
        <v>6514822320</v>
      </c>
      <c r="L186" s="7">
        <v>632613820178</v>
      </c>
      <c r="M186" t="s">
        <v>1</v>
      </c>
      <c r="N186" s="1">
        <v>42984</v>
      </c>
      <c r="O186" t="s">
        <v>11</v>
      </c>
      <c r="Q186" t="s">
        <v>192</v>
      </c>
      <c r="S186" t="s">
        <v>4</v>
      </c>
      <c r="T186" t="s">
        <v>193</v>
      </c>
      <c r="U186" t="s">
        <v>30</v>
      </c>
      <c r="V186">
        <v>23</v>
      </c>
      <c r="W186" t="s">
        <v>31</v>
      </c>
      <c r="X186" t="s">
        <v>521</v>
      </c>
      <c r="Y186" t="s">
        <v>8</v>
      </c>
      <c r="Z186" s="5" t="s">
        <v>936</v>
      </c>
      <c r="AA186" s="5" t="s">
        <v>1072</v>
      </c>
      <c r="AB186" t="s">
        <v>9</v>
      </c>
      <c r="AC186" s="2">
        <v>45568.616666666669</v>
      </c>
      <c r="AD186" s="2">
        <v>45568.616666666669</v>
      </c>
    </row>
    <row r="187" spans="1:30" x14ac:dyDescent="0.25">
      <c r="A187" t="s">
        <v>519</v>
      </c>
      <c r="B187" t="s">
        <v>1389</v>
      </c>
      <c r="C187" t="s">
        <v>522</v>
      </c>
      <c r="D187" t="s">
        <v>523</v>
      </c>
      <c r="E187" t="s">
        <v>46</v>
      </c>
      <c r="F187" t="s">
        <v>1184</v>
      </c>
      <c r="I187" s="5" t="s">
        <v>858</v>
      </c>
      <c r="J187" s="1">
        <v>41884</v>
      </c>
      <c r="K187" s="8">
        <v>62448139369</v>
      </c>
      <c r="O187" t="s">
        <v>11</v>
      </c>
      <c r="S187" t="s">
        <v>4</v>
      </c>
      <c r="T187" t="s">
        <v>366</v>
      </c>
      <c r="U187" t="s">
        <v>25</v>
      </c>
      <c r="V187">
        <v>17</v>
      </c>
      <c r="W187" t="s">
        <v>31</v>
      </c>
      <c r="X187" t="s">
        <v>521</v>
      </c>
      <c r="Y187" t="s">
        <v>8</v>
      </c>
      <c r="Z187" s="5" t="s">
        <v>982</v>
      </c>
      <c r="AA187" s="5" t="s">
        <v>1114</v>
      </c>
      <c r="AB187" t="s">
        <v>9</v>
      </c>
      <c r="AC187" s="2">
        <v>45569.395138888889</v>
      </c>
      <c r="AD187" s="2">
        <v>45569.395138888889</v>
      </c>
    </row>
    <row r="188" spans="1:30" x14ac:dyDescent="0.25">
      <c r="A188" t="s">
        <v>519</v>
      </c>
      <c r="B188" t="s">
        <v>1389</v>
      </c>
      <c r="C188" t="s">
        <v>522</v>
      </c>
      <c r="D188" t="s">
        <v>523</v>
      </c>
      <c r="E188" t="s">
        <v>23</v>
      </c>
      <c r="F188" t="s">
        <v>1184</v>
      </c>
      <c r="I188" s="5" t="s">
        <v>859</v>
      </c>
      <c r="J188" s="1">
        <v>41336</v>
      </c>
      <c r="K188" s="8">
        <v>63484635320</v>
      </c>
      <c r="O188" t="s">
        <v>11</v>
      </c>
      <c r="S188" t="s">
        <v>4</v>
      </c>
      <c r="T188" t="s">
        <v>367</v>
      </c>
      <c r="U188" t="s">
        <v>208</v>
      </c>
      <c r="V188">
        <v>17</v>
      </c>
      <c r="W188" t="s">
        <v>31</v>
      </c>
      <c r="X188" t="s">
        <v>521</v>
      </c>
      <c r="Y188" t="s">
        <v>8</v>
      </c>
      <c r="Z188" s="5" t="s">
        <v>1322</v>
      </c>
      <c r="AA188" s="5" t="s">
        <v>1323</v>
      </c>
      <c r="AB188" t="s">
        <v>9</v>
      </c>
      <c r="AC188" s="2">
        <v>45574.401388888888</v>
      </c>
      <c r="AD188" s="2">
        <v>45574.401388888888</v>
      </c>
    </row>
    <row r="189" spans="1:30" x14ac:dyDescent="0.25">
      <c r="A189" t="s">
        <v>519</v>
      </c>
      <c r="B189" t="s">
        <v>1388</v>
      </c>
      <c r="C189" t="s">
        <v>520</v>
      </c>
      <c r="D189" t="s">
        <v>523</v>
      </c>
      <c r="E189" t="s">
        <v>1391</v>
      </c>
      <c r="F189" t="s">
        <v>106</v>
      </c>
      <c r="I189" s="5" t="s">
        <v>860</v>
      </c>
      <c r="J189" s="1">
        <v>40022</v>
      </c>
      <c r="K189" s="8">
        <v>62053883324</v>
      </c>
      <c r="L189" s="7">
        <v>547543020140</v>
      </c>
      <c r="M189" t="s">
        <v>1</v>
      </c>
      <c r="N189" s="1">
        <v>41982</v>
      </c>
      <c r="O189" t="s">
        <v>11</v>
      </c>
      <c r="Q189" t="s">
        <v>368</v>
      </c>
      <c r="S189" t="s">
        <v>4</v>
      </c>
      <c r="T189" t="s">
        <v>545</v>
      </c>
      <c r="U189" t="s">
        <v>30</v>
      </c>
      <c r="V189">
        <v>15</v>
      </c>
      <c r="W189" t="s">
        <v>7</v>
      </c>
      <c r="X189" t="s">
        <v>521</v>
      </c>
      <c r="Y189" t="s">
        <v>8</v>
      </c>
      <c r="Z189" s="5" t="s">
        <v>1324</v>
      </c>
      <c r="AA189" s="5" t="s">
        <v>1115</v>
      </c>
      <c r="AB189" t="s">
        <v>9</v>
      </c>
      <c r="AC189" s="2">
        <v>45573.686111111114</v>
      </c>
      <c r="AD189" s="2">
        <v>45573.686111111114</v>
      </c>
    </row>
    <row r="190" spans="1:30" x14ac:dyDescent="0.25">
      <c r="A190" t="s">
        <v>519</v>
      </c>
      <c r="B190" t="s">
        <v>1389</v>
      </c>
      <c r="C190" t="s">
        <v>522</v>
      </c>
      <c r="D190" t="s">
        <v>523</v>
      </c>
      <c r="E190" t="s">
        <v>10</v>
      </c>
      <c r="F190" t="s">
        <v>1184</v>
      </c>
      <c r="I190" s="5" t="s">
        <v>740</v>
      </c>
      <c r="J190" s="1">
        <v>42179</v>
      </c>
      <c r="K190" s="8">
        <v>63027790307</v>
      </c>
      <c r="O190" t="s">
        <v>11</v>
      </c>
      <c r="S190" t="s">
        <v>4</v>
      </c>
      <c r="T190" t="s">
        <v>369</v>
      </c>
      <c r="U190" t="s">
        <v>172</v>
      </c>
      <c r="V190">
        <v>59</v>
      </c>
      <c r="W190" t="s">
        <v>31</v>
      </c>
      <c r="X190" t="s">
        <v>521</v>
      </c>
      <c r="Y190" t="s">
        <v>8</v>
      </c>
      <c r="Z190" s="5" t="s">
        <v>1251</v>
      </c>
      <c r="AA190" s="5" t="s">
        <v>1116</v>
      </c>
      <c r="AB190" t="s">
        <v>9</v>
      </c>
      <c r="AC190" s="2">
        <v>45568.380555555559</v>
      </c>
      <c r="AD190" s="2">
        <v>45568.380555555559</v>
      </c>
    </row>
    <row r="191" spans="1:30" x14ac:dyDescent="0.25">
      <c r="A191" t="s">
        <v>519</v>
      </c>
      <c r="B191" t="s">
        <v>1388</v>
      </c>
      <c r="C191" t="s">
        <v>520</v>
      </c>
      <c r="D191" t="s">
        <v>523</v>
      </c>
      <c r="E191" t="s">
        <v>27</v>
      </c>
      <c r="F191" t="s">
        <v>1184</v>
      </c>
      <c r="I191" s="5" t="s">
        <v>741</v>
      </c>
      <c r="J191" s="1">
        <v>40902</v>
      </c>
      <c r="K191" s="8">
        <v>62466718375</v>
      </c>
      <c r="L191" s="7">
        <v>594298420168</v>
      </c>
      <c r="M191" t="s">
        <v>1</v>
      </c>
      <c r="N191" s="1">
        <v>42565</v>
      </c>
      <c r="O191" t="s">
        <v>11</v>
      </c>
      <c r="Q191" t="s">
        <v>370</v>
      </c>
      <c r="S191" t="s">
        <v>4</v>
      </c>
      <c r="T191" t="s">
        <v>371</v>
      </c>
      <c r="U191" t="s">
        <v>30</v>
      </c>
      <c r="V191">
        <v>20</v>
      </c>
      <c r="W191" t="s">
        <v>31</v>
      </c>
      <c r="X191" t="s">
        <v>521</v>
      </c>
      <c r="Y191" t="s">
        <v>8</v>
      </c>
      <c r="Z191" s="5" t="s">
        <v>983</v>
      </c>
      <c r="AA191" s="5" t="s">
        <v>1117</v>
      </c>
      <c r="AB191" t="s">
        <v>9</v>
      </c>
      <c r="AC191" s="2">
        <v>45568.65625</v>
      </c>
      <c r="AD191" s="2">
        <v>45568.65625</v>
      </c>
    </row>
    <row r="192" spans="1:30" x14ac:dyDescent="0.25">
      <c r="A192" t="s">
        <v>519</v>
      </c>
      <c r="B192" t="s">
        <v>1389</v>
      </c>
      <c r="C192" t="s">
        <v>522</v>
      </c>
      <c r="D192" t="s">
        <v>523</v>
      </c>
      <c r="E192" t="s">
        <v>18</v>
      </c>
      <c r="F192" t="s">
        <v>1184</v>
      </c>
      <c r="I192" s="5" t="s">
        <v>861</v>
      </c>
      <c r="J192" s="1">
        <v>42771</v>
      </c>
      <c r="K192" s="8">
        <v>62830127366</v>
      </c>
      <c r="O192" t="s">
        <v>11</v>
      </c>
      <c r="Q192" t="s">
        <v>372</v>
      </c>
      <c r="S192" t="s">
        <v>4</v>
      </c>
      <c r="T192" t="s">
        <v>373</v>
      </c>
      <c r="U192" t="s">
        <v>374</v>
      </c>
      <c r="V192">
        <v>15</v>
      </c>
      <c r="W192" t="s">
        <v>31</v>
      </c>
      <c r="X192" t="s">
        <v>521</v>
      </c>
      <c r="Y192" t="s">
        <v>8</v>
      </c>
      <c r="Z192" s="5" t="s">
        <v>1174</v>
      </c>
      <c r="AA192" s="5" t="s">
        <v>1118</v>
      </c>
      <c r="AB192" t="s">
        <v>9</v>
      </c>
      <c r="AC192" s="2">
        <v>45567.474999999999</v>
      </c>
      <c r="AD192" s="2">
        <v>45567.474999999999</v>
      </c>
    </row>
    <row r="193" spans="1:30" x14ac:dyDescent="0.25">
      <c r="A193" t="s">
        <v>519</v>
      </c>
      <c r="B193" t="s">
        <v>1389</v>
      </c>
      <c r="C193" t="s">
        <v>522</v>
      </c>
      <c r="D193" t="s">
        <v>523</v>
      </c>
      <c r="E193" t="s">
        <v>10</v>
      </c>
      <c r="F193" t="s">
        <v>1184</v>
      </c>
      <c r="I193" s="5" t="s">
        <v>742</v>
      </c>
      <c r="J193" s="1">
        <v>42223</v>
      </c>
      <c r="K193" s="8">
        <v>8251885396</v>
      </c>
      <c r="O193" t="s">
        <v>11</v>
      </c>
      <c r="S193" t="s">
        <v>4</v>
      </c>
      <c r="T193" t="s">
        <v>265</v>
      </c>
      <c r="U193" t="s">
        <v>220</v>
      </c>
      <c r="V193">
        <v>2</v>
      </c>
      <c r="W193" t="s">
        <v>375</v>
      </c>
      <c r="X193" t="s">
        <v>521</v>
      </c>
      <c r="Y193" t="s">
        <v>8</v>
      </c>
      <c r="Z193" s="5" t="s">
        <v>1325</v>
      </c>
      <c r="AA193" s="5" t="s">
        <v>1119</v>
      </c>
      <c r="AB193" t="s">
        <v>9</v>
      </c>
      <c r="AC193" s="2">
        <v>45568.383333333331</v>
      </c>
      <c r="AD193" s="2">
        <v>45568.383333333331</v>
      </c>
    </row>
    <row r="194" spans="1:30" x14ac:dyDescent="0.25">
      <c r="A194" t="s">
        <v>519</v>
      </c>
      <c r="B194" t="s">
        <v>1388</v>
      </c>
      <c r="C194" t="s">
        <v>520</v>
      </c>
      <c r="D194" t="s">
        <v>523</v>
      </c>
      <c r="E194" t="s">
        <v>16</v>
      </c>
      <c r="F194" t="s">
        <v>1184</v>
      </c>
      <c r="I194" s="5" t="s">
        <v>743</v>
      </c>
      <c r="J194" s="1">
        <v>40512</v>
      </c>
      <c r="K194" s="8">
        <v>62063915318</v>
      </c>
      <c r="L194" s="7">
        <v>548776420141</v>
      </c>
      <c r="M194" t="s">
        <v>1</v>
      </c>
      <c r="N194" s="1">
        <v>41997</v>
      </c>
      <c r="O194" t="s">
        <v>11</v>
      </c>
      <c r="P194" t="s">
        <v>376</v>
      </c>
      <c r="Q194" t="s">
        <v>377</v>
      </c>
      <c r="S194" t="s">
        <v>378</v>
      </c>
      <c r="T194" t="s">
        <v>379</v>
      </c>
      <c r="U194" t="s">
        <v>6</v>
      </c>
      <c r="V194">
        <v>5</v>
      </c>
      <c r="W194" t="s">
        <v>31</v>
      </c>
      <c r="X194" t="s">
        <v>521</v>
      </c>
      <c r="Y194" t="s">
        <v>8</v>
      </c>
      <c r="Z194" s="5" t="s">
        <v>984</v>
      </c>
      <c r="AA194" s="5" t="s">
        <v>1120</v>
      </c>
      <c r="AB194" t="s">
        <v>9</v>
      </c>
      <c r="AC194" s="2">
        <v>45582.64166666667</v>
      </c>
      <c r="AD194" s="2">
        <v>45582.64166666667</v>
      </c>
    </row>
    <row r="195" spans="1:30" x14ac:dyDescent="0.25">
      <c r="A195" t="s">
        <v>519</v>
      </c>
      <c r="B195" t="s">
        <v>1389</v>
      </c>
      <c r="C195" t="s">
        <v>522</v>
      </c>
      <c r="D195" t="s">
        <v>523</v>
      </c>
      <c r="E195" t="s">
        <v>102</v>
      </c>
      <c r="F195" t="s">
        <v>1184</v>
      </c>
      <c r="I195" s="5" t="s">
        <v>744</v>
      </c>
      <c r="J195" s="1">
        <v>42832</v>
      </c>
      <c r="K195" s="8">
        <v>63330697369</v>
      </c>
      <c r="O195" t="s">
        <v>11</v>
      </c>
      <c r="P195" t="s">
        <v>380</v>
      </c>
      <c r="S195" t="s">
        <v>4</v>
      </c>
      <c r="T195" t="s">
        <v>178</v>
      </c>
      <c r="U195" t="s">
        <v>176</v>
      </c>
      <c r="V195">
        <v>8</v>
      </c>
      <c r="W195" t="s">
        <v>31</v>
      </c>
      <c r="X195" t="s">
        <v>521</v>
      </c>
      <c r="Y195" t="s">
        <v>8</v>
      </c>
      <c r="Z195" s="5" t="s">
        <v>985</v>
      </c>
      <c r="AA195" s="5" t="s">
        <v>1326</v>
      </c>
      <c r="AB195" t="s">
        <v>9</v>
      </c>
      <c r="AC195" s="2">
        <v>45567.338888888888</v>
      </c>
      <c r="AD195" s="2">
        <v>45567.436805555553</v>
      </c>
    </row>
    <row r="196" spans="1:30" x14ac:dyDescent="0.25">
      <c r="A196" t="s">
        <v>519</v>
      </c>
      <c r="B196" t="s">
        <v>1388</v>
      </c>
      <c r="C196" t="s">
        <v>520</v>
      </c>
      <c r="D196" t="s">
        <v>523</v>
      </c>
      <c r="E196" t="s">
        <v>16</v>
      </c>
      <c r="F196" t="s">
        <v>1184</v>
      </c>
      <c r="I196" s="5" t="s">
        <v>862</v>
      </c>
      <c r="J196" s="1">
        <v>40586</v>
      </c>
      <c r="K196" s="8">
        <v>61923383370</v>
      </c>
      <c r="L196" s="7">
        <v>532817420145</v>
      </c>
      <c r="M196" t="s">
        <v>1</v>
      </c>
      <c r="N196" s="1">
        <v>41838</v>
      </c>
      <c r="O196" t="s">
        <v>11</v>
      </c>
      <c r="P196" t="s">
        <v>381</v>
      </c>
      <c r="Q196" t="s">
        <v>382</v>
      </c>
      <c r="S196" t="s">
        <v>4</v>
      </c>
      <c r="T196" t="s">
        <v>383</v>
      </c>
      <c r="U196" t="s">
        <v>384</v>
      </c>
      <c r="V196">
        <v>1</v>
      </c>
      <c r="W196" t="s">
        <v>385</v>
      </c>
      <c r="X196" t="s">
        <v>521</v>
      </c>
      <c r="Y196" t="s">
        <v>8</v>
      </c>
      <c r="Z196" s="5" t="s">
        <v>1327</v>
      </c>
      <c r="AA196" s="5" t="s">
        <v>1121</v>
      </c>
      <c r="AB196" t="s">
        <v>9</v>
      </c>
      <c r="AC196" s="2">
        <v>45582.654166666667</v>
      </c>
      <c r="AD196" s="2">
        <v>45582.654166666667</v>
      </c>
    </row>
    <row r="197" spans="1:30" x14ac:dyDescent="0.25">
      <c r="A197" t="s">
        <v>519</v>
      </c>
      <c r="B197" t="s">
        <v>1389</v>
      </c>
      <c r="C197" t="s">
        <v>522</v>
      </c>
      <c r="D197" t="s">
        <v>523</v>
      </c>
      <c r="E197" t="s">
        <v>23</v>
      </c>
      <c r="F197" t="s">
        <v>1184</v>
      </c>
      <c r="I197" s="5" t="s">
        <v>745</v>
      </c>
      <c r="J197" s="1">
        <v>41559</v>
      </c>
      <c r="K197" s="8">
        <v>63337643370</v>
      </c>
      <c r="O197" t="s">
        <v>11</v>
      </c>
      <c r="S197" t="s">
        <v>4</v>
      </c>
      <c r="T197" t="s">
        <v>361</v>
      </c>
      <c r="U197" t="s">
        <v>219</v>
      </c>
      <c r="V197">
        <v>2</v>
      </c>
      <c r="W197" t="s">
        <v>31</v>
      </c>
      <c r="X197" t="s">
        <v>521</v>
      </c>
      <c r="Y197" t="s">
        <v>8</v>
      </c>
      <c r="Z197" s="5" t="s">
        <v>986</v>
      </c>
      <c r="AA197" s="5" t="s">
        <v>1122</v>
      </c>
      <c r="AB197" t="s">
        <v>9</v>
      </c>
      <c r="AC197" s="2">
        <v>45574.402777777781</v>
      </c>
      <c r="AD197" s="2">
        <v>45574.402777777781</v>
      </c>
    </row>
    <row r="198" spans="1:30" x14ac:dyDescent="0.25">
      <c r="A198" t="s">
        <v>519</v>
      </c>
      <c r="B198" t="s">
        <v>1388</v>
      </c>
      <c r="C198" t="s">
        <v>520</v>
      </c>
      <c r="D198" t="s">
        <v>523</v>
      </c>
      <c r="E198" t="s">
        <v>16</v>
      </c>
      <c r="F198" t="s">
        <v>1184</v>
      </c>
      <c r="I198" s="5" t="s">
        <v>863</v>
      </c>
      <c r="J198" s="1">
        <v>39779</v>
      </c>
      <c r="K198" s="8">
        <v>62331385319</v>
      </c>
      <c r="L198" s="7">
        <v>577208420158</v>
      </c>
      <c r="M198" t="s">
        <v>1</v>
      </c>
      <c r="N198" s="1">
        <v>42354</v>
      </c>
      <c r="O198" t="s">
        <v>2</v>
      </c>
      <c r="Q198" t="s">
        <v>386</v>
      </c>
      <c r="S198" t="s">
        <v>387</v>
      </c>
      <c r="T198" t="s">
        <v>388</v>
      </c>
      <c r="U198" t="s">
        <v>30</v>
      </c>
      <c r="V198">
        <v>36</v>
      </c>
      <c r="W198" t="s">
        <v>15</v>
      </c>
      <c r="X198" t="s">
        <v>521</v>
      </c>
      <c r="Y198" t="s">
        <v>8</v>
      </c>
      <c r="Z198" s="5" t="s">
        <v>987</v>
      </c>
      <c r="AA198" s="5" t="s">
        <v>1123</v>
      </c>
      <c r="AB198" t="s">
        <v>9</v>
      </c>
      <c r="AC198" s="2">
        <v>45582.693055555559</v>
      </c>
      <c r="AD198" s="2">
        <v>45582.693055555559</v>
      </c>
    </row>
    <row r="199" spans="1:30" x14ac:dyDescent="0.25">
      <c r="A199" t="s">
        <v>519</v>
      </c>
      <c r="B199" t="s">
        <v>1389</v>
      </c>
      <c r="C199" t="s">
        <v>522</v>
      </c>
      <c r="D199" t="s">
        <v>523</v>
      </c>
      <c r="E199" t="s">
        <v>23</v>
      </c>
      <c r="F199" t="s">
        <v>1184</v>
      </c>
      <c r="I199" s="5" t="s">
        <v>864</v>
      </c>
      <c r="J199" s="1">
        <v>41757</v>
      </c>
      <c r="K199" s="8">
        <v>62978436352</v>
      </c>
      <c r="O199" t="s">
        <v>2</v>
      </c>
      <c r="S199" t="s">
        <v>4</v>
      </c>
      <c r="T199" t="s">
        <v>181</v>
      </c>
      <c r="U199" t="s">
        <v>182</v>
      </c>
      <c r="V199">
        <v>3</v>
      </c>
      <c r="W199" t="s">
        <v>53</v>
      </c>
      <c r="X199" t="s">
        <v>521</v>
      </c>
      <c r="Y199" t="s">
        <v>8</v>
      </c>
      <c r="Z199" s="5" t="s">
        <v>1328</v>
      </c>
      <c r="AA199" s="5" t="s">
        <v>1124</v>
      </c>
      <c r="AB199" t="s">
        <v>9</v>
      </c>
      <c r="AC199" s="2">
        <v>45574.420138888891</v>
      </c>
      <c r="AD199" s="2">
        <v>45574.420138888891</v>
      </c>
    </row>
    <row r="200" spans="1:30" x14ac:dyDescent="0.25">
      <c r="A200" t="s">
        <v>519</v>
      </c>
      <c r="B200" t="s">
        <v>1389</v>
      </c>
      <c r="C200" t="s">
        <v>522</v>
      </c>
      <c r="D200" t="s">
        <v>523</v>
      </c>
      <c r="E200" t="s">
        <v>23</v>
      </c>
      <c r="F200" t="s">
        <v>1184</v>
      </c>
      <c r="I200" s="5" t="s">
        <v>746</v>
      </c>
      <c r="J200" s="1">
        <v>41527</v>
      </c>
      <c r="K200" s="8">
        <v>63257966326</v>
      </c>
      <c r="O200" t="s">
        <v>2</v>
      </c>
      <c r="S200" t="s">
        <v>4</v>
      </c>
      <c r="T200" t="s">
        <v>389</v>
      </c>
      <c r="U200" t="s">
        <v>390</v>
      </c>
      <c r="V200">
        <v>31</v>
      </c>
      <c r="W200" t="s">
        <v>31</v>
      </c>
      <c r="X200" t="s">
        <v>521</v>
      </c>
      <c r="Y200" t="s">
        <v>8</v>
      </c>
      <c r="Z200" s="5" t="s">
        <v>988</v>
      </c>
      <c r="AA200" s="5" t="s">
        <v>1329</v>
      </c>
      <c r="AB200" t="s">
        <v>9</v>
      </c>
      <c r="AC200" s="2">
        <v>45574.42083333333</v>
      </c>
      <c r="AD200" s="2">
        <v>45574.42083333333</v>
      </c>
    </row>
    <row r="201" spans="1:30" x14ac:dyDescent="0.25">
      <c r="A201" t="s">
        <v>519</v>
      </c>
      <c r="B201" t="s">
        <v>1388</v>
      </c>
      <c r="C201" t="s">
        <v>520</v>
      </c>
      <c r="D201" t="s">
        <v>523</v>
      </c>
      <c r="E201" t="s">
        <v>0</v>
      </c>
      <c r="F201" t="s">
        <v>1184</v>
      </c>
      <c r="I201" s="5" t="s">
        <v>865</v>
      </c>
      <c r="J201" s="1">
        <v>41273</v>
      </c>
      <c r="K201" s="8">
        <v>8260542340</v>
      </c>
      <c r="L201" s="7">
        <v>576567420155</v>
      </c>
      <c r="M201" t="s">
        <v>1</v>
      </c>
      <c r="N201" s="1">
        <v>42348</v>
      </c>
      <c r="O201" t="s">
        <v>2</v>
      </c>
      <c r="Q201" t="s">
        <v>391</v>
      </c>
      <c r="S201" t="s">
        <v>20</v>
      </c>
      <c r="T201" t="s">
        <v>21</v>
      </c>
      <c r="U201" t="s">
        <v>6</v>
      </c>
      <c r="V201">
        <v>230</v>
      </c>
      <c r="W201" t="s">
        <v>22</v>
      </c>
      <c r="X201" t="s">
        <v>1387</v>
      </c>
      <c r="Y201" t="s">
        <v>8</v>
      </c>
      <c r="Z201" s="5" t="s">
        <v>1330</v>
      </c>
      <c r="AA201" s="5" t="s">
        <v>1331</v>
      </c>
      <c r="AB201" t="s">
        <v>9</v>
      </c>
      <c r="AC201" s="2">
        <v>45566.580555555556</v>
      </c>
      <c r="AD201" s="2">
        <v>45566.580555555556</v>
      </c>
    </row>
    <row r="202" spans="1:30" x14ac:dyDescent="0.25">
      <c r="A202" t="s">
        <v>519</v>
      </c>
      <c r="B202" t="s">
        <v>1389</v>
      </c>
      <c r="C202" t="s">
        <v>522</v>
      </c>
      <c r="D202" t="s">
        <v>523</v>
      </c>
      <c r="E202" t="s">
        <v>23</v>
      </c>
      <c r="F202" t="s">
        <v>1184</v>
      </c>
      <c r="I202" s="5" t="s">
        <v>747</v>
      </c>
      <c r="J202" s="1">
        <v>41561</v>
      </c>
      <c r="K202" s="8">
        <v>62020832399</v>
      </c>
      <c r="O202" t="s">
        <v>11</v>
      </c>
      <c r="S202" t="s">
        <v>4</v>
      </c>
      <c r="T202" t="s">
        <v>392</v>
      </c>
      <c r="U202" t="s">
        <v>266</v>
      </c>
      <c r="V202">
        <v>2</v>
      </c>
      <c r="W202" t="s">
        <v>45</v>
      </c>
      <c r="X202" t="s">
        <v>521</v>
      </c>
      <c r="Y202" t="s">
        <v>8</v>
      </c>
      <c r="Z202" s="5" t="s">
        <v>1241</v>
      </c>
      <c r="AA202" s="5" t="s">
        <v>1332</v>
      </c>
      <c r="AB202" t="s">
        <v>9</v>
      </c>
      <c r="AC202" s="2">
        <v>45574.422222222223</v>
      </c>
      <c r="AD202" s="2">
        <v>45574.422222222223</v>
      </c>
    </row>
    <row r="203" spans="1:30" x14ac:dyDescent="0.25">
      <c r="A203" t="s">
        <v>519</v>
      </c>
      <c r="B203" t="s">
        <v>1389</v>
      </c>
      <c r="C203" t="s">
        <v>522</v>
      </c>
      <c r="D203" t="s">
        <v>523</v>
      </c>
      <c r="E203" t="s">
        <v>18</v>
      </c>
      <c r="F203" t="s">
        <v>1184</v>
      </c>
      <c r="I203" s="5" t="s">
        <v>748</v>
      </c>
      <c r="J203" s="1">
        <v>42696</v>
      </c>
      <c r="K203" s="8">
        <v>63308945312</v>
      </c>
      <c r="O203" t="s">
        <v>11</v>
      </c>
      <c r="Q203" t="s">
        <v>393</v>
      </c>
      <c r="S203" t="s">
        <v>4</v>
      </c>
      <c r="T203" t="s">
        <v>47</v>
      </c>
      <c r="U203" t="s">
        <v>347</v>
      </c>
      <c r="V203">
        <v>17</v>
      </c>
      <c r="W203" t="s">
        <v>40</v>
      </c>
      <c r="X203" t="s">
        <v>521</v>
      </c>
      <c r="Y203" t="s">
        <v>8</v>
      </c>
      <c r="Z203" s="5" t="s">
        <v>989</v>
      </c>
      <c r="AA203" s="5" t="s">
        <v>1125</v>
      </c>
      <c r="AB203" t="s">
        <v>9</v>
      </c>
      <c r="AC203" s="2">
        <v>45567.476388888892</v>
      </c>
      <c r="AD203" s="2">
        <v>45567.476388888892</v>
      </c>
    </row>
    <row r="204" spans="1:30" x14ac:dyDescent="0.25">
      <c r="A204" t="s">
        <v>519</v>
      </c>
      <c r="B204" t="s">
        <v>1389</v>
      </c>
      <c r="C204" t="s">
        <v>522</v>
      </c>
      <c r="D204" t="s">
        <v>523</v>
      </c>
      <c r="E204" t="s">
        <v>102</v>
      </c>
      <c r="F204" t="s">
        <v>1184</v>
      </c>
      <c r="I204" s="5" t="s">
        <v>866</v>
      </c>
      <c r="J204" s="1">
        <v>42997</v>
      </c>
      <c r="K204" s="8">
        <v>63345812363</v>
      </c>
      <c r="O204" t="s">
        <v>11</v>
      </c>
      <c r="P204" t="s">
        <v>394</v>
      </c>
      <c r="S204" t="s">
        <v>4</v>
      </c>
      <c r="T204" t="s">
        <v>395</v>
      </c>
      <c r="U204">
        <v>38</v>
      </c>
      <c r="V204">
        <v>53</v>
      </c>
      <c r="W204" t="s">
        <v>15</v>
      </c>
      <c r="X204" t="s">
        <v>521</v>
      </c>
      <c r="Y204" t="s">
        <v>8</v>
      </c>
      <c r="Z204" s="5" t="s">
        <v>1333</v>
      </c>
      <c r="AA204" s="5" t="s">
        <v>1126</v>
      </c>
      <c r="AB204" t="s">
        <v>9</v>
      </c>
      <c r="AC204" s="2">
        <v>45567.343055555553</v>
      </c>
      <c r="AD204" s="2">
        <v>45567.436805555553</v>
      </c>
    </row>
    <row r="205" spans="1:30" x14ac:dyDescent="0.25">
      <c r="A205" t="s">
        <v>519</v>
      </c>
      <c r="B205" t="s">
        <v>1389</v>
      </c>
      <c r="C205" t="s">
        <v>522</v>
      </c>
      <c r="D205" t="s">
        <v>523</v>
      </c>
      <c r="E205" t="s">
        <v>23</v>
      </c>
      <c r="F205" t="s">
        <v>1184</v>
      </c>
      <c r="I205" s="5" t="s">
        <v>749</v>
      </c>
      <c r="J205" s="1">
        <v>41490</v>
      </c>
      <c r="K205" s="8">
        <v>63335685385</v>
      </c>
      <c r="O205" t="s">
        <v>11</v>
      </c>
      <c r="S205" t="s">
        <v>4</v>
      </c>
      <c r="T205" t="s">
        <v>396</v>
      </c>
      <c r="U205" t="s">
        <v>397</v>
      </c>
      <c r="V205">
        <v>28</v>
      </c>
      <c r="W205" t="s">
        <v>31</v>
      </c>
      <c r="X205" t="s">
        <v>521</v>
      </c>
      <c r="Y205" t="s">
        <v>8</v>
      </c>
      <c r="Z205" s="5" t="s">
        <v>990</v>
      </c>
      <c r="AA205" s="5" t="s">
        <v>1127</v>
      </c>
      <c r="AB205" t="s">
        <v>9</v>
      </c>
      <c r="AC205" s="2">
        <v>45574.427083333336</v>
      </c>
      <c r="AD205" s="2">
        <v>45574.427083333336</v>
      </c>
    </row>
    <row r="206" spans="1:30" x14ac:dyDescent="0.25">
      <c r="A206" t="s">
        <v>519</v>
      </c>
      <c r="B206" t="s">
        <v>1388</v>
      </c>
      <c r="C206" t="s">
        <v>520</v>
      </c>
      <c r="D206" t="s">
        <v>523</v>
      </c>
      <c r="E206" t="s">
        <v>0</v>
      </c>
      <c r="F206" t="s">
        <v>1184</v>
      </c>
      <c r="I206" s="5" t="s">
        <v>867</v>
      </c>
      <c r="J206" s="1">
        <v>41109</v>
      </c>
      <c r="K206" s="8">
        <v>63401472321</v>
      </c>
      <c r="L206" s="7">
        <v>744687420211</v>
      </c>
      <c r="M206" t="s">
        <v>1</v>
      </c>
      <c r="N206" s="1">
        <v>44386</v>
      </c>
      <c r="O206" t="s">
        <v>2</v>
      </c>
      <c r="Q206" t="s">
        <v>398</v>
      </c>
      <c r="S206" t="s">
        <v>4</v>
      </c>
      <c r="T206" t="s">
        <v>399</v>
      </c>
      <c r="U206" t="s">
        <v>30</v>
      </c>
      <c r="V206">
        <v>7</v>
      </c>
      <c r="W206" t="s">
        <v>31</v>
      </c>
      <c r="X206" t="s">
        <v>521</v>
      </c>
      <c r="Y206" t="s">
        <v>8</v>
      </c>
      <c r="Z206" s="5" t="s">
        <v>1334</v>
      </c>
      <c r="AA206" s="5" t="s">
        <v>1335</v>
      </c>
      <c r="AB206" t="s">
        <v>9</v>
      </c>
      <c r="AC206" s="2">
        <v>45566.637499999997</v>
      </c>
      <c r="AD206" s="2">
        <v>45566.637499999997</v>
      </c>
    </row>
    <row r="207" spans="1:30" x14ac:dyDescent="0.25">
      <c r="A207" t="s">
        <v>519</v>
      </c>
      <c r="B207" t="s">
        <v>1388</v>
      </c>
      <c r="C207" t="s">
        <v>520</v>
      </c>
      <c r="D207" t="s">
        <v>523</v>
      </c>
      <c r="E207" t="s">
        <v>16</v>
      </c>
      <c r="F207" t="s">
        <v>1184</v>
      </c>
      <c r="I207" s="5" t="s">
        <v>750</v>
      </c>
      <c r="J207" s="1">
        <v>39924</v>
      </c>
      <c r="K207" s="8">
        <v>61604293373</v>
      </c>
      <c r="L207" s="7">
        <v>747235020218</v>
      </c>
      <c r="M207" t="s">
        <v>1</v>
      </c>
      <c r="N207" s="1">
        <v>44427</v>
      </c>
      <c r="O207" t="s">
        <v>2</v>
      </c>
      <c r="Q207" t="s">
        <v>400</v>
      </c>
      <c r="S207" t="s">
        <v>4</v>
      </c>
      <c r="T207" t="s">
        <v>401</v>
      </c>
      <c r="U207" t="s">
        <v>30</v>
      </c>
      <c r="V207">
        <v>8</v>
      </c>
      <c r="W207" t="s">
        <v>31</v>
      </c>
      <c r="X207" t="s">
        <v>521</v>
      </c>
      <c r="Y207" t="s">
        <v>8</v>
      </c>
      <c r="Z207" s="5" t="s">
        <v>1328</v>
      </c>
      <c r="AA207" s="5" t="s">
        <v>1128</v>
      </c>
      <c r="AB207" t="s">
        <v>9</v>
      </c>
      <c r="AC207" s="2">
        <v>45582.70416666667</v>
      </c>
      <c r="AD207" s="2">
        <v>45582.70416666667</v>
      </c>
    </row>
    <row r="208" spans="1:30" x14ac:dyDescent="0.25">
      <c r="A208" t="s">
        <v>519</v>
      </c>
      <c r="B208" t="s">
        <v>1388</v>
      </c>
      <c r="C208" t="s">
        <v>520</v>
      </c>
      <c r="D208" t="s">
        <v>523</v>
      </c>
      <c r="E208" t="s">
        <v>27</v>
      </c>
      <c r="F208" t="s">
        <v>1184</v>
      </c>
      <c r="I208" s="5" t="s">
        <v>751</v>
      </c>
      <c r="J208" s="1">
        <v>40848</v>
      </c>
      <c r="K208" s="8">
        <v>61146639341</v>
      </c>
      <c r="L208" s="7">
        <v>454982620124</v>
      </c>
      <c r="M208" t="s">
        <v>1</v>
      </c>
      <c r="N208" s="1">
        <v>41107</v>
      </c>
      <c r="O208" t="s">
        <v>2</v>
      </c>
      <c r="Q208" t="s">
        <v>402</v>
      </c>
      <c r="S208" t="s">
        <v>20</v>
      </c>
      <c r="T208" t="s">
        <v>403</v>
      </c>
      <c r="U208" t="s">
        <v>30</v>
      </c>
      <c r="V208">
        <v>4</v>
      </c>
      <c r="W208" t="s">
        <v>404</v>
      </c>
      <c r="X208" t="s">
        <v>1387</v>
      </c>
      <c r="Y208" t="s">
        <v>8</v>
      </c>
      <c r="Z208" s="5" t="s">
        <v>924</v>
      </c>
      <c r="AA208" s="5" t="s">
        <v>1218</v>
      </c>
      <c r="AB208" t="s">
        <v>9</v>
      </c>
      <c r="AC208" s="2">
        <v>45568.672222222223</v>
      </c>
      <c r="AD208" s="2">
        <v>45568.672222222223</v>
      </c>
    </row>
    <row r="209" spans="1:30" x14ac:dyDescent="0.25">
      <c r="A209" t="s">
        <v>519</v>
      </c>
      <c r="B209" t="s">
        <v>1389</v>
      </c>
      <c r="C209" t="s">
        <v>522</v>
      </c>
      <c r="D209" t="s">
        <v>523</v>
      </c>
      <c r="E209" t="s">
        <v>10</v>
      </c>
      <c r="F209" t="s">
        <v>1184</v>
      </c>
      <c r="I209" s="5" t="s">
        <v>752</v>
      </c>
      <c r="J209" s="1">
        <v>42112</v>
      </c>
      <c r="K209" s="8">
        <v>9913035392</v>
      </c>
      <c r="O209" t="s">
        <v>2</v>
      </c>
      <c r="S209" t="s">
        <v>4</v>
      </c>
      <c r="T209" t="s">
        <v>396</v>
      </c>
      <c r="U209" t="s">
        <v>397</v>
      </c>
      <c r="V209">
        <v>28</v>
      </c>
      <c r="W209" t="s">
        <v>31</v>
      </c>
      <c r="X209" t="s">
        <v>521</v>
      </c>
      <c r="Y209" t="s">
        <v>8</v>
      </c>
      <c r="Z209" s="5" t="s">
        <v>991</v>
      </c>
      <c r="AA209" s="5" t="s">
        <v>1129</v>
      </c>
      <c r="AB209" t="s">
        <v>9</v>
      </c>
      <c r="AC209" s="2">
        <v>45568.385416666664</v>
      </c>
      <c r="AD209" s="2">
        <v>45568.385416666664</v>
      </c>
    </row>
    <row r="210" spans="1:30" x14ac:dyDescent="0.25">
      <c r="A210" t="s">
        <v>519</v>
      </c>
      <c r="B210" t="s">
        <v>1389</v>
      </c>
      <c r="C210" t="s">
        <v>522</v>
      </c>
      <c r="D210" t="s">
        <v>523</v>
      </c>
      <c r="E210" t="s">
        <v>46</v>
      </c>
      <c r="F210" t="s">
        <v>1184</v>
      </c>
      <c r="I210" s="5" t="s">
        <v>753</v>
      </c>
      <c r="J210" s="1">
        <v>41761</v>
      </c>
      <c r="K210" s="8">
        <v>63525934378</v>
      </c>
      <c r="O210" t="s">
        <v>2</v>
      </c>
      <c r="S210" t="s">
        <v>4</v>
      </c>
      <c r="T210" t="s">
        <v>85</v>
      </c>
      <c r="U210" t="s">
        <v>219</v>
      </c>
      <c r="V210">
        <v>33</v>
      </c>
      <c r="W210" t="s">
        <v>31</v>
      </c>
      <c r="X210" t="s">
        <v>521</v>
      </c>
      <c r="Y210" t="s">
        <v>8</v>
      </c>
      <c r="Z210" s="5" t="s">
        <v>1336</v>
      </c>
      <c r="AA210" t="s">
        <v>1184</v>
      </c>
      <c r="AB210" t="s">
        <v>9</v>
      </c>
      <c r="AC210" s="2">
        <v>45569.395833333336</v>
      </c>
      <c r="AD210" s="2">
        <v>45569.395833333336</v>
      </c>
    </row>
    <row r="211" spans="1:30" x14ac:dyDescent="0.25">
      <c r="A211" t="s">
        <v>519</v>
      </c>
      <c r="B211" t="s">
        <v>1389</v>
      </c>
      <c r="C211" t="s">
        <v>522</v>
      </c>
      <c r="D211" t="s">
        <v>523</v>
      </c>
      <c r="E211" t="s">
        <v>23</v>
      </c>
      <c r="F211" t="s">
        <v>1184</v>
      </c>
      <c r="I211" s="5" t="s">
        <v>754</v>
      </c>
      <c r="J211" s="1">
        <v>41036</v>
      </c>
      <c r="K211" s="8">
        <v>62823530339</v>
      </c>
      <c r="O211" t="s">
        <v>11</v>
      </c>
      <c r="S211" t="s">
        <v>4</v>
      </c>
      <c r="T211" t="s">
        <v>405</v>
      </c>
      <c r="U211" t="s">
        <v>219</v>
      </c>
      <c r="V211">
        <v>33</v>
      </c>
      <c r="W211" t="s">
        <v>31</v>
      </c>
      <c r="X211" t="s">
        <v>521</v>
      </c>
      <c r="Y211" t="s">
        <v>8</v>
      </c>
      <c r="Z211" s="5" t="s">
        <v>992</v>
      </c>
      <c r="AA211" s="5" t="s">
        <v>1130</v>
      </c>
      <c r="AB211" t="s">
        <v>9</v>
      </c>
      <c r="AC211" s="2">
        <v>45574.428472222222</v>
      </c>
      <c r="AD211" s="2">
        <v>45574.428472222222</v>
      </c>
    </row>
    <row r="212" spans="1:30" x14ac:dyDescent="0.25">
      <c r="A212" t="s">
        <v>519</v>
      </c>
      <c r="B212" t="s">
        <v>1389</v>
      </c>
      <c r="C212" t="s">
        <v>522</v>
      </c>
      <c r="D212" t="s">
        <v>523</v>
      </c>
      <c r="E212" t="s">
        <v>23</v>
      </c>
      <c r="F212" t="s">
        <v>1184</v>
      </c>
      <c r="I212" s="5" t="s">
        <v>755</v>
      </c>
      <c r="J212" s="1">
        <v>41619</v>
      </c>
      <c r="K212" s="8">
        <v>9913004322</v>
      </c>
      <c r="O212" t="s">
        <v>11</v>
      </c>
      <c r="S212" t="s">
        <v>4</v>
      </c>
      <c r="T212" t="s">
        <v>406</v>
      </c>
      <c r="U212" t="s">
        <v>6</v>
      </c>
      <c r="V212">
        <v>96</v>
      </c>
      <c r="W212" t="s">
        <v>525</v>
      </c>
      <c r="X212" t="s">
        <v>521</v>
      </c>
      <c r="Y212" t="s">
        <v>8</v>
      </c>
      <c r="Z212" s="5" t="s">
        <v>993</v>
      </c>
      <c r="AA212" t="s">
        <v>1184</v>
      </c>
      <c r="AB212" t="s">
        <v>9</v>
      </c>
      <c r="AC212" s="2">
        <v>45574.433333333334</v>
      </c>
      <c r="AD212" s="2">
        <v>45574.433333333334</v>
      </c>
    </row>
    <row r="213" spans="1:30" x14ac:dyDescent="0.25">
      <c r="A213" t="s">
        <v>519</v>
      </c>
      <c r="B213" t="s">
        <v>1388</v>
      </c>
      <c r="C213" t="s">
        <v>520</v>
      </c>
      <c r="D213" t="s">
        <v>523</v>
      </c>
      <c r="E213" t="s">
        <v>27</v>
      </c>
      <c r="F213" t="s">
        <v>1184</v>
      </c>
      <c r="I213" s="5" t="s">
        <v>868</v>
      </c>
      <c r="J213" s="1">
        <v>40864</v>
      </c>
      <c r="K213" s="8">
        <v>62021547302</v>
      </c>
      <c r="L213" s="7">
        <v>54415020145</v>
      </c>
      <c r="M213" t="s">
        <v>1</v>
      </c>
      <c r="N213" s="1">
        <v>41940</v>
      </c>
      <c r="O213" t="s">
        <v>2</v>
      </c>
      <c r="Q213" t="s">
        <v>407</v>
      </c>
      <c r="S213" t="s">
        <v>4</v>
      </c>
      <c r="T213" t="s">
        <v>408</v>
      </c>
      <c r="U213" t="s">
        <v>30</v>
      </c>
      <c r="V213">
        <v>3</v>
      </c>
      <c r="W213" t="s">
        <v>409</v>
      </c>
      <c r="X213" t="s">
        <v>521</v>
      </c>
      <c r="Y213" t="s">
        <v>8</v>
      </c>
      <c r="Z213" s="5" t="s">
        <v>1337</v>
      </c>
      <c r="AA213" s="5" t="s">
        <v>1338</v>
      </c>
      <c r="AB213" t="s">
        <v>9</v>
      </c>
      <c r="AC213" s="2">
        <v>45568.668749999997</v>
      </c>
      <c r="AD213" s="2">
        <v>45568.668749999997</v>
      </c>
    </row>
    <row r="214" spans="1:30" x14ac:dyDescent="0.25">
      <c r="A214" t="s">
        <v>519</v>
      </c>
      <c r="B214" t="s">
        <v>1389</v>
      </c>
      <c r="C214" t="s">
        <v>522</v>
      </c>
      <c r="D214" t="s">
        <v>523</v>
      </c>
      <c r="E214" t="s">
        <v>18</v>
      </c>
      <c r="F214" t="s">
        <v>1184</v>
      </c>
      <c r="I214" s="5" t="s">
        <v>869</v>
      </c>
      <c r="J214" s="1">
        <v>42640</v>
      </c>
      <c r="K214" s="8">
        <v>62948509327</v>
      </c>
      <c r="O214" t="s">
        <v>2</v>
      </c>
      <c r="Q214" t="s">
        <v>410</v>
      </c>
      <c r="S214" t="s">
        <v>4</v>
      </c>
      <c r="T214" t="s">
        <v>216</v>
      </c>
      <c r="U214" t="s">
        <v>411</v>
      </c>
      <c r="V214">
        <v>10</v>
      </c>
      <c r="W214" t="s">
        <v>412</v>
      </c>
      <c r="X214" t="s">
        <v>521</v>
      </c>
      <c r="Y214" t="s">
        <v>8</v>
      </c>
      <c r="Z214" s="5" t="s">
        <v>1339</v>
      </c>
      <c r="AA214" s="5" t="s">
        <v>1340</v>
      </c>
      <c r="AB214" t="s">
        <v>9</v>
      </c>
      <c r="AC214" s="2">
        <v>45567.478472222225</v>
      </c>
      <c r="AD214" s="2">
        <v>45567.478472222225</v>
      </c>
    </row>
    <row r="215" spans="1:30" x14ac:dyDescent="0.25">
      <c r="A215" t="s">
        <v>519</v>
      </c>
      <c r="B215" t="s">
        <v>1388</v>
      </c>
      <c r="C215" t="s">
        <v>520</v>
      </c>
      <c r="D215" t="s">
        <v>523</v>
      </c>
      <c r="E215" t="s">
        <v>27</v>
      </c>
      <c r="F215" t="s">
        <v>1184</v>
      </c>
      <c r="I215" s="5" t="s">
        <v>756</v>
      </c>
      <c r="J215" s="1">
        <v>40451</v>
      </c>
      <c r="K215" s="8">
        <v>6850984357</v>
      </c>
      <c r="L215" s="7">
        <v>656764220181</v>
      </c>
      <c r="M215" t="s">
        <v>1</v>
      </c>
      <c r="N215" s="1">
        <v>43199</v>
      </c>
      <c r="O215" t="s">
        <v>2</v>
      </c>
      <c r="Q215" t="s">
        <v>413</v>
      </c>
      <c r="S215" t="s">
        <v>4</v>
      </c>
      <c r="T215" t="s">
        <v>414</v>
      </c>
      <c r="U215" t="s">
        <v>30</v>
      </c>
      <c r="V215">
        <v>7</v>
      </c>
      <c r="W215" t="s">
        <v>300</v>
      </c>
      <c r="X215" t="s">
        <v>521</v>
      </c>
      <c r="Y215" t="s">
        <v>8</v>
      </c>
      <c r="Z215" s="5" t="s">
        <v>994</v>
      </c>
      <c r="AA215" s="5" t="s">
        <v>1341</v>
      </c>
      <c r="AB215" t="s">
        <v>9</v>
      </c>
      <c r="AC215" s="2">
        <v>45568.6</v>
      </c>
      <c r="AD215" s="2">
        <v>45568.6</v>
      </c>
    </row>
    <row r="216" spans="1:30" x14ac:dyDescent="0.25">
      <c r="A216" t="s">
        <v>519</v>
      </c>
      <c r="B216" t="s">
        <v>1388</v>
      </c>
      <c r="C216" t="s">
        <v>520</v>
      </c>
      <c r="D216" t="s">
        <v>523</v>
      </c>
      <c r="E216" t="s">
        <v>27</v>
      </c>
      <c r="F216" t="s">
        <v>1184</v>
      </c>
      <c r="I216" s="5" t="s">
        <v>870</v>
      </c>
      <c r="J216" s="1">
        <v>40765</v>
      </c>
      <c r="K216" s="8">
        <v>6424606394</v>
      </c>
      <c r="L216" s="7">
        <v>515916520140</v>
      </c>
      <c r="M216" t="s">
        <v>1</v>
      </c>
      <c r="N216" s="1">
        <v>44162</v>
      </c>
      <c r="O216" t="s">
        <v>2</v>
      </c>
      <c r="Q216" t="s">
        <v>415</v>
      </c>
      <c r="S216" t="s">
        <v>4</v>
      </c>
      <c r="T216" t="s">
        <v>416</v>
      </c>
      <c r="U216" t="s">
        <v>30</v>
      </c>
      <c r="V216">
        <v>12</v>
      </c>
      <c r="W216" t="s">
        <v>31</v>
      </c>
      <c r="X216" t="s">
        <v>521</v>
      </c>
      <c r="Y216" t="s">
        <v>8</v>
      </c>
      <c r="Z216" s="5" t="s">
        <v>995</v>
      </c>
      <c r="AA216" s="5" t="s">
        <v>1342</v>
      </c>
      <c r="AB216" t="s">
        <v>9</v>
      </c>
      <c r="AC216" s="2">
        <v>45568.619444444441</v>
      </c>
      <c r="AD216" s="2">
        <v>45568.619444444441</v>
      </c>
    </row>
    <row r="217" spans="1:30" x14ac:dyDescent="0.25">
      <c r="A217" t="s">
        <v>519</v>
      </c>
      <c r="B217" t="s">
        <v>1388</v>
      </c>
      <c r="C217" t="s">
        <v>520</v>
      </c>
      <c r="D217" t="s">
        <v>523</v>
      </c>
      <c r="E217" t="s">
        <v>1391</v>
      </c>
      <c r="F217" t="s">
        <v>106</v>
      </c>
      <c r="I217" s="5" t="s">
        <v>871</v>
      </c>
      <c r="J217" s="1">
        <v>39748</v>
      </c>
      <c r="K217" s="8">
        <v>60801631360</v>
      </c>
      <c r="L217" s="7">
        <v>54960820156</v>
      </c>
      <c r="M217" t="s">
        <v>1</v>
      </c>
      <c r="N217" s="1">
        <v>42012</v>
      </c>
      <c r="O217" t="s">
        <v>2</v>
      </c>
      <c r="Q217" t="s">
        <v>417</v>
      </c>
      <c r="S217" t="s">
        <v>4</v>
      </c>
      <c r="T217" t="s">
        <v>418</v>
      </c>
      <c r="U217" t="s">
        <v>30</v>
      </c>
      <c r="V217">
        <v>3</v>
      </c>
      <c r="W217" t="s">
        <v>15</v>
      </c>
      <c r="X217" t="s">
        <v>521</v>
      </c>
      <c r="Y217" t="s">
        <v>8</v>
      </c>
      <c r="Z217" s="5" t="s">
        <v>996</v>
      </c>
      <c r="AA217" s="5" t="s">
        <v>1343</v>
      </c>
      <c r="AB217" t="s">
        <v>9</v>
      </c>
      <c r="AC217" s="2">
        <v>45573.631249999999</v>
      </c>
      <c r="AD217" s="2">
        <v>45573.631249999999</v>
      </c>
    </row>
    <row r="218" spans="1:30" x14ac:dyDescent="0.25">
      <c r="A218" t="s">
        <v>519</v>
      </c>
      <c r="B218" t="s">
        <v>1389</v>
      </c>
      <c r="C218" t="s">
        <v>522</v>
      </c>
      <c r="D218" t="s">
        <v>523</v>
      </c>
      <c r="E218" t="s">
        <v>18</v>
      </c>
      <c r="F218" t="s">
        <v>1184</v>
      </c>
      <c r="I218" s="5" t="s">
        <v>757</v>
      </c>
      <c r="J218" s="1">
        <v>42616</v>
      </c>
      <c r="K218" s="8">
        <v>63877510396</v>
      </c>
      <c r="O218" t="s">
        <v>2</v>
      </c>
      <c r="Q218" t="s">
        <v>419</v>
      </c>
      <c r="S218" t="s">
        <v>4</v>
      </c>
      <c r="T218" t="s">
        <v>239</v>
      </c>
      <c r="U218" t="s">
        <v>182</v>
      </c>
      <c r="V218">
        <v>12</v>
      </c>
      <c r="W218" t="s">
        <v>53</v>
      </c>
      <c r="X218" t="s">
        <v>521</v>
      </c>
      <c r="Y218" t="s">
        <v>8</v>
      </c>
      <c r="Z218" s="5" t="s">
        <v>997</v>
      </c>
      <c r="AA218" s="5" t="s">
        <v>1131</v>
      </c>
      <c r="AB218" t="s">
        <v>9</v>
      </c>
      <c r="AC218" s="2">
        <v>45567.481249999997</v>
      </c>
      <c r="AD218" s="2">
        <v>45567.481249999997</v>
      </c>
    </row>
    <row r="219" spans="1:30" x14ac:dyDescent="0.25">
      <c r="A219" t="s">
        <v>519</v>
      </c>
      <c r="B219" t="s">
        <v>1388</v>
      </c>
      <c r="C219" t="s">
        <v>520</v>
      </c>
      <c r="D219" t="s">
        <v>523</v>
      </c>
      <c r="E219" t="s">
        <v>0</v>
      </c>
      <c r="F219" t="s">
        <v>1184</v>
      </c>
      <c r="I219" s="5" t="s">
        <v>758</v>
      </c>
      <c r="J219" s="1">
        <v>41170</v>
      </c>
      <c r="K219" s="8">
        <v>63098681365</v>
      </c>
      <c r="L219" s="7">
        <v>665609720183</v>
      </c>
      <c r="M219" t="s">
        <v>1</v>
      </c>
      <c r="N219" s="1">
        <v>43277</v>
      </c>
      <c r="O219" t="s">
        <v>2</v>
      </c>
      <c r="Q219" t="s">
        <v>420</v>
      </c>
      <c r="S219" t="s">
        <v>4</v>
      </c>
      <c r="T219" t="s">
        <v>421</v>
      </c>
      <c r="U219" t="s">
        <v>30</v>
      </c>
      <c r="V219">
        <v>6</v>
      </c>
      <c r="W219" t="s">
        <v>312</v>
      </c>
      <c r="X219" t="s">
        <v>521</v>
      </c>
      <c r="Y219" t="s">
        <v>8</v>
      </c>
      <c r="Z219" s="5" t="s">
        <v>998</v>
      </c>
      <c r="AA219" s="5" t="s">
        <v>1132</v>
      </c>
      <c r="AB219" t="s">
        <v>9</v>
      </c>
      <c r="AC219" s="2">
        <v>45566.656944444447</v>
      </c>
      <c r="AD219" s="2">
        <v>45566.656944444447</v>
      </c>
    </row>
    <row r="220" spans="1:30" x14ac:dyDescent="0.25">
      <c r="A220" t="s">
        <v>519</v>
      </c>
      <c r="B220" t="s">
        <v>1389</v>
      </c>
      <c r="C220" t="s">
        <v>522</v>
      </c>
      <c r="D220" t="s">
        <v>523</v>
      </c>
      <c r="E220" t="s">
        <v>23</v>
      </c>
      <c r="F220" t="s">
        <v>1184</v>
      </c>
      <c r="I220" s="5" t="s">
        <v>759</v>
      </c>
      <c r="J220" s="1">
        <v>41695</v>
      </c>
      <c r="K220" s="8">
        <v>62477456300</v>
      </c>
      <c r="O220" t="s">
        <v>2</v>
      </c>
      <c r="S220" t="s">
        <v>4</v>
      </c>
      <c r="T220" t="s">
        <v>422</v>
      </c>
      <c r="U220" t="s">
        <v>423</v>
      </c>
      <c r="V220">
        <v>284</v>
      </c>
      <c r="W220" t="s">
        <v>424</v>
      </c>
      <c r="X220" t="s">
        <v>521</v>
      </c>
      <c r="Y220" t="s">
        <v>8</v>
      </c>
      <c r="Z220" s="5" t="s">
        <v>999</v>
      </c>
      <c r="AA220" s="5" t="s">
        <v>1133</v>
      </c>
      <c r="AB220" t="s">
        <v>9</v>
      </c>
      <c r="AC220" s="2">
        <v>45574.436111111114</v>
      </c>
      <c r="AD220" s="2">
        <v>45574.436111111114</v>
      </c>
    </row>
    <row r="221" spans="1:30" x14ac:dyDescent="0.25">
      <c r="A221" t="s">
        <v>519</v>
      </c>
      <c r="B221" t="s">
        <v>1389</v>
      </c>
      <c r="C221" t="s">
        <v>522</v>
      </c>
      <c r="D221" t="s">
        <v>523</v>
      </c>
      <c r="E221" t="s">
        <v>23</v>
      </c>
      <c r="F221" t="s">
        <v>1184</v>
      </c>
      <c r="I221" s="5" t="s">
        <v>872</v>
      </c>
      <c r="J221" s="1">
        <v>41654</v>
      </c>
      <c r="K221" s="8">
        <v>62754265350</v>
      </c>
      <c r="O221" t="s">
        <v>2</v>
      </c>
      <c r="S221" t="s">
        <v>4</v>
      </c>
      <c r="T221" t="s">
        <v>425</v>
      </c>
      <c r="U221" t="s">
        <v>30</v>
      </c>
      <c r="V221">
        <v>15</v>
      </c>
      <c r="W221" t="s">
        <v>215</v>
      </c>
      <c r="X221" t="s">
        <v>521</v>
      </c>
      <c r="Y221" t="s">
        <v>8</v>
      </c>
      <c r="Z221" s="5" t="s">
        <v>1344</v>
      </c>
      <c r="AA221" s="5" t="s">
        <v>1345</v>
      </c>
      <c r="AB221" t="s">
        <v>9</v>
      </c>
      <c r="AC221" s="2">
        <v>45574.44027777778</v>
      </c>
      <c r="AD221" s="2">
        <v>45574.44027777778</v>
      </c>
    </row>
    <row r="222" spans="1:30" x14ac:dyDescent="0.25">
      <c r="A222" t="s">
        <v>519</v>
      </c>
      <c r="B222" t="s">
        <v>1388</v>
      </c>
      <c r="C222" t="s">
        <v>520</v>
      </c>
      <c r="D222" t="s">
        <v>523</v>
      </c>
      <c r="E222" t="s">
        <v>1391</v>
      </c>
      <c r="F222" t="s">
        <v>1390</v>
      </c>
      <c r="I222" s="5" t="s">
        <v>760</v>
      </c>
      <c r="J222" s="1">
        <v>40025</v>
      </c>
      <c r="K222" s="8">
        <v>61617542318</v>
      </c>
      <c r="L222" s="7">
        <v>501949120130</v>
      </c>
      <c r="M222" t="s">
        <v>1</v>
      </c>
      <c r="N222" s="1">
        <v>41569</v>
      </c>
      <c r="O222" t="s">
        <v>2</v>
      </c>
      <c r="Q222" t="s">
        <v>426</v>
      </c>
      <c r="S222" t="s">
        <v>4</v>
      </c>
      <c r="T222" t="s">
        <v>427</v>
      </c>
      <c r="U222" t="s">
        <v>30</v>
      </c>
      <c r="V222">
        <v>1</v>
      </c>
      <c r="W222" t="s">
        <v>31</v>
      </c>
      <c r="X222" t="s">
        <v>521</v>
      </c>
      <c r="Y222" t="s">
        <v>8</v>
      </c>
      <c r="Z222" s="5" t="s">
        <v>1000</v>
      </c>
      <c r="AA222" t="s">
        <v>1184</v>
      </c>
      <c r="AB222" t="s">
        <v>9</v>
      </c>
      <c r="AC222" s="2">
        <v>45574.70416666667</v>
      </c>
      <c r="AD222" s="2">
        <v>45574.70416666667</v>
      </c>
    </row>
    <row r="223" spans="1:30" x14ac:dyDescent="0.25">
      <c r="A223" t="s">
        <v>519</v>
      </c>
      <c r="B223" t="s">
        <v>1388</v>
      </c>
      <c r="C223" t="s">
        <v>520</v>
      </c>
      <c r="D223" t="s">
        <v>523</v>
      </c>
      <c r="E223" t="s">
        <v>16</v>
      </c>
      <c r="F223" t="s">
        <v>1184</v>
      </c>
      <c r="I223" s="5" t="s">
        <v>873</v>
      </c>
      <c r="J223" s="1">
        <v>40373</v>
      </c>
      <c r="K223" s="8">
        <v>62331389306</v>
      </c>
      <c r="L223" s="7">
        <v>577209120158</v>
      </c>
      <c r="M223" t="s">
        <v>1</v>
      </c>
      <c r="N223" s="1">
        <v>42354</v>
      </c>
      <c r="O223" t="s">
        <v>2</v>
      </c>
      <c r="Q223" t="s">
        <v>428</v>
      </c>
      <c r="S223" t="s">
        <v>4</v>
      </c>
      <c r="T223" t="s">
        <v>429</v>
      </c>
      <c r="U223" t="s">
        <v>30</v>
      </c>
      <c r="V223">
        <v>13</v>
      </c>
      <c r="W223" t="s">
        <v>15</v>
      </c>
      <c r="X223" t="s">
        <v>521</v>
      </c>
      <c r="Y223" t="s">
        <v>8</v>
      </c>
      <c r="Z223" s="5" t="s">
        <v>1346</v>
      </c>
      <c r="AA223" s="5" t="s">
        <v>1134</v>
      </c>
      <c r="AB223" t="s">
        <v>9</v>
      </c>
      <c r="AC223" s="2">
        <v>45582.712500000001</v>
      </c>
      <c r="AD223" s="2">
        <v>45582.712500000001</v>
      </c>
    </row>
    <row r="224" spans="1:30" x14ac:dyDescent="0.25">
      <c r="A224" t="s">
        <v>519</v>
      </c>
      <c r="B224" t="s">
        <v>1389</v>
      </c>
      <c r="C224" t="s">
        <v>522</v>
      </c>
      <c r="D224" t="s">
        <v>523</v>
      </c>
      <c r="E224" t="s">
        <v>23</v>
      </c>
      <c r="F224" t="s">
        <v>1184</v>
      </c>
      <c r="I224" s="5" t="s">
        <v>761</v>
      </c>
      <c r="J224" s="1">
        <v>41654</v>
      </c>
      <c r="K224" s="8">
        <v>7805676330</v>
      </c>
      <c r="O224" t="s">
        <v>2</v>
      </c>
      <c r="S224" t="s">
        <v>4</v>
      </c>
      <c r="T224" t="s">
        <v>216</v>
      </c>
      <c r="U224" t="s">
        <v>204</v>
      </c>
      <c r="V224">
        <v>4</v>
      </c>
      <c r="W224" t="s">
        <v>217</v>
      </c>
      <c r="X224" t="s">
        <v>521</v>
      </c>
      <c r="Y224" t="s">
        <v>8</v>
      </c>
      <c r="Z224" s="5" t="s">
        <v>1347</v>
      </c>
      <c r="AA224" s="5" t="s">
        <v>1135</v>
      </c>
      <c r="AB224" t="s">
        <v>9</v>
      </c>
      <c r="AC224" s="2">
        <v>45574.438194444447</v>
      </c>
      <c r="AD224" s="2">
        <v>45574.442361111112</v>
      </c>
    </row>
    <row r="225" spans="1:30" x14ac:dyDescent="0.25">
      <c r="A225" t="s">
        <v>519</v>
      </c>
      <c r="B225" t="s">
        <v>1388</v>
      </c>
      <c r="C225" t="s">
        <v>520</v>
      </c>
      <c r="D225" t="s">
        <v>523</v>
      </c>
      <c r="E225" t="s">
        <v>27</v>
      </c>
      <c r="F225" t="s">
        <v>1184</v>
      </c>
      <c r="I225" s="5" t="s">
        <v>874</v>
      </c>
      <c r="J225" s="1">
        <v>41005</v>
      </c>
      <c r="K225" s="8">
        <v>62790015392</v>
      </c>
      <c r="L225" s="7">
        <v>632558020179</v>
      </c>
      <c r="M225" t="s">
        <v>1</v>
      </c>
      <c r="N225" s="1">
        <v>42984</v>
      </c>
      <c r="O225" t="s">
        <v>2</v>
      </c>
      <c r="Q225" t="s">
        <v>49</v>
      </c>
      <c r="S225" t="s">
        <v>4</v>
      </c>
      <c r="T225" t="s">
        <v>430</v>
      </c>
      <c r="U225" t="s">
        <v>30</v>
      </c>
      <c r="V225">
        <v>20</v>
      </c>
      <c r="W225" t="s">
        <v>31</v>
      </c>
      <c r="X225" t="s">
        <v>521</v>
      </c>
      <c r="Y225" t="s">
        <v>8</v>
      </c>
      <c r="Z225" s="5" t="s">
        <v>896</v>
      </c>
      <c r="AA225" s="5" t="s">
        <v>1191</v>
      </c>
      <c r="AB225" t="s">
        <v>9</v>
      </c>
      <c r="AC225" s="2">
        <v>45568.620833333334</v>
      </c>
      <c r="AD225" s="2">
        <v>45568.620833333334</v>
      </c>
    </row>
    <row r="226" spans="1:30" x14ac:dyDescent="0.25">
      <c r="A226" t="s">
        <v>519</v>
      </c>
      <c r="B226" t="s">
        <v>1388</v>
      </c>
      <c r="C226" t="s">
        <v>520</v>
      </c>
      <c r="D226" t="s">
        <v>523</v>
      </c>
      <c r="E226" t="s">
        <v>27</v>
      </c>
      <c r="F226" t="s">
        <v>1184</v>
      </c>
      <c r="I226" s="5" t="s">
        <v>875</v>
      </c>
      <c r="J226" s="1">
        <v>40282</v>
      </c>
      <c r="K226" s="8">
        <v>61383852332</v>
      </c>
      <c r="L226" s="7">
        <v>479019820136</v>
      </c>
      <c r="M226" t="s">
        <v>1</v>
      </c>
      <c r="N226" s="1">
        <v>41365</v>
      </c>
      <c r="O226" t="s">
        <v>2</v>
      </c>
      <c r="Q226" t="s">
        <v>431</v>
      </c>
      <c r="S226" t="s">
        <v>20</v>
      </c>
      <c r="T226" t="s">
        <v>432</v>
      </c>
      <c r="U226" t="s">
        <v>303</v>
      </c>
      <c r="V226">
        <v>102</v>
      </c>
      <c r="W226" t="s">
        <v>433</v>
      </c>
      <c r="X226" t="s">
        <v>1387</v>
      </c>
      <c r="Y226" t="s">
        <v>8</v>
      </c>
      <c r="Z226" s="5" t="s">
        <v>1001</v>
      </c>
      <c r="AA226" s="5" t="s">
        <v>1348</v>
      </c>
      <c r="AB226" t="s">
        <v>9</v>
      </c>
      <c r="AC226" s="2">
        <v>45567.679861111108</v>
      </c>
      <c r="AD226" s="2">
        <v>45567.679861111108</v>
      </c>
    </row>
    <row r="227" spans="1:30" x14ac:dyDescent="0.25">
      <c r="A227" t="s">
        <v>519</v>
      </c>
      <c r="B227" t="s">
        <v>1388</v>
      </c>
      <c r="C227" t="s">
        <v>520</v>
      </c>
      <c r="D227" t="s">
        <v>523</v>
      </c>
      <c r="E227" t="s">
        <v>1391</v>
      </c>
      <c r="F227" t="s">
        <v>106</v>
      </c>
      <c r="I227" s="5" t="s">
        <v>762</v>
      </c>
      <c r="J227" s="1">
        <v>40129</v>
      </c>
      <c r="K227" s="8">
        <v>62985549396</v>
      </c>
      <c r="L227" s="7">
        <v>653236520182</v>
      </c>
      <c r="M227" t="s">
        <v>1</v>
      </c>
      <c r="N227" s="1">
        <v>44657</v>
      </c>
      <c r="O227" t="s">
        <v>2</v>
      </c>
      <c r="Q227" t="s">
        <v>434</v>
      </c>
      <c r="S227" t="s">
        <v>4</v>
      </c>
      <c r="T227" t="s">
        <v>435</v>
      </c>
      <c r="U227" t="s">
        <v>6</v>
      </c>
      <c r="V227">
        <v>7</v>
      </c>
      <c r="W227" t="s">
        <v>436</v>
      </c>
      <c r="X227" t="s">
        <v>521</v>
      </c>
      <c r="Y227" t="s">
        <v>8</v>
      </c>
      <c r="Z227" s="5" t="s">
        <v>1002</v>
      </c>
      <c r="AA227" s="5" t="s">
        <v>1136</v>
      </c>
      <c r="AB227" t="s">
        <v>9</v>
      </c>
      <c r="AC227" s="2">
        <v>45573.688194444447</v>
      </c>
      <c r="AD227" s="2">
        <v>45573.688194444447</v>
      </c>
    </row>
    <row r="228" spans="1:30" x14ac:dyDescent="0.25">
      <c r="A228" t="s">
        <v>519</v>
      </c>
      <c r="B228" t="s">
        <v>1388</v>
      </c>
      <c r="C228" t="s">
        <v>520</v>
      </c>
      <c r="D228" t="s">
        <v>523</v>
      </c>
      <c r="E228" t="s">
        <v>0</v>
      </c>
      <c r="F228" t="s">
        <v>1184</v>
      </c>
      <c r="I228" s="5" t="s">
        <v>763</v>
      </c>
      <c r="J228" s="1">
        <v>41370</v>
      </c>
      <c r="K228" s="8">
        <v>8025229394</v>
      </c>
      <c r="L228" s="7">
        <v>607186220168</v>
      </c>
      <c r="M228" t="s">
        <v>1</v>
      </c>
      <c r="N228" s="1">
        <v>42717</v>
      </c>
      <c r="O228" t="s">
        <v>2</v>
      </c>
      <c r="Q228" t="s">
        <v>437</v>
      </c>
      <c r="S228" t="s">
        <v>4</v>
      </c>
      <c r="T228" t="s">
        <v>438</v>
      </c>
      <c r="U228" t="s">
        <v>59</v>
      </c>
      <c r="V228">
        <v>9</v>
      </c>
      <c r="W228" t="s">
        <v>37</v>
      </c>
      <c r="X228" t="s">
        <v>521</v>
      </c>
      <c r="Y228" t="s">
        <v>8</v>
      </c>
      <c r="Z228" s="5" t="s">
        <v>1311</v>
      </c>
      <c r="AA228" s="5" t="s">
        <v>1312</v>
      </c>
      <c r="AB228" t="s">
        <v>9</v>
      </c>
      <c r="AC228" s="2">
        <v>45566.582638888889</v>
      </c>
      <c r="AD228" s="2">
        <v>45566.582638888889</v>
      </c>
    </row>
    <row r="229" spans="1:30" x14ac:dyDescent="0.25">
      <c r="A229" t="s">
        <v>519</v>
      </c>
      <c r="B229" t="s">
        <v>1389</v>
      </c>
      <c r="C229" t="s">
        <v>522</v>
      </c>
      <c r="D229" t="s">
        <v>523</v>
      </c>
      <c r="E229" t="s">
        <v>18</v>
      </c>
      <c r="F229" t="s">
        <v>1184</v>
      </c>
      <c r="I229" s="5" t="s">
        <v>764</v>
      </c>
      <c r="J229" s="1">
        <v>42575</v>
      </c>
      <c r="K229" s="8">
        <v>62895145393</v>
      </c>
      <c r="O229" t="s">
        <v>2</v>
      </c>
      <c r="Q229" t="s">
        <v>439</v>
      </c>
      <c r="S229" t="s">
        <v>4</v>
      </c>
      <c r="T229" t="s">
        <v>405</v>
      </c>
      <c r="U229" t="s">
        <v>440</v>
      </c>
      <c r="V229">
        <v>29</v>
      </c>
      <c r="W229" t="s">
        <v>31</v>
      </c>
      <c r="X229" t="s">
        <v>521</v>
      </c>
      <c r="Y229" t="s">
        <v>8</v>
      </c>
      <c r="Z229" s="5" t="s">
        <v>1003</v>
      </c>
      <c r="AA229" s="5" t="s">
        <v>1137</v>
      </c>
      <c r="AB229" t="s">
        <v>9</v>
      </c>
      <c r="AC229" s="2">
        <v>45567.482638888891</v>
      </c>
      <c r="AD229" s="2">
        <v>45567.482638888891</v>
      </c>
    </row>
    <row r="230" spans="1:30" x14ac:dyDescent="0.25">
      <c r="A230" t="s">
        <v>519</v>
      </c>
      <c r="B230" t="s">
        <v>1388</v>
      </c>
      <c r="C230" t="s">
        <v>520</v>
      </c>
      <c r="D230" t="s">
        <v>523</v>
      </c>
      <c r="E230" t="s">
        <v>1391</v>
      </c>
      <c r="F230" t="s">
        <v>1390</v>
      </c>
      <c r="I230" s="5" t="s">
        <v>765</v>
      </c>
      <c r="J230" s="1">
        <v>39939</v>
      </c>
      <c r="K230" s="8">
        <v>62087565376</v>
      </c>
      <c r="L230" s="7">
        <v>551603620150</v>
      </c>
      <c r="M230" t="s">
        <v>1</v>
      </c>
      <c r="N230" s="1">
        <v>42031</v>
      </c>
      <c r="O230" t="s">
        <v>11</v>
      </c>
      <c r="Q230" t="s">
        <v>441</v>
      </c>
      <c r="S230" t="s">
        <v>4</v>
      </c>
      <c r="T230" t="s">
        <v>399</v>
      </c>
      <c r="U230" t="s">
        <v>30</v>
      </c>
      <c r="V230">
        <v>7</v>
      </c>
      <c r="W230" t="s">
        <v>31</v>
      </c>
      <c r="X230" t="s">
        <v>521</v>
      </c>
      <c r="Y230" t="s">
        <v>8</v>
      </c>
      <c r="Z230" s="5" t="s">
        <v>1349</v>
      </c>
      <c r="AA230" s="5" t="s">
        <v>1138</v>
      </c>
      <c r="AB230" t="s">
        <v>9</v>
      </c>
      <c r="AC230" s="2">
        <v>45574.702777777777</v>
      </c>
      <c r="AD230" s="2">
        <v>45574.702777777777</v>
      </c>
    </row>
    <row r="231" spans="1:30" x14ac:dyDescent="0.25">
      <c r="A231" t="s">
        <v>519</v>
      </c>
      <c r="B231" t="s">
        <v>1388</v>
      </c>
      <c r="C231" t="s">
        <v>520</v>
      </c>
      <c r="D231" t="s">
        <v>523</v>
      </c>
      <c r="E231" t="s">
        <v>1391</v>
      </c>
      <c r="F231" t="s">
        <v>106</v>
      </c>
      <c r="I231" s="5" t="s">
        <v>766</v>
      </c>
      <c r="J231" s="1">
        <v>40000</v>
      </c>
      <c r="K231" s="8">
        <v>60798710330</v>
      </c>
      <c r="L231" s="7">
        <v>420159120112</v>
      </c>
      <c r="M231" t="s">
        <v>442</v>
      </c>
      <c r="N231" s="1">
        <v>40668</v>
      </c>
      <c r="O231" t="s">
        <v>2</v>
      </c>
      <c r="Q231" t="s">
        <v>443</v>
      </c>
      <c r="S231" t="s">
        <v>4</v>
      </c>
      <c r="T231" t="s">
        <v>444</v>
      </c>
      <c r="U231" t="s">
        <v>30</v>
      </c>
      <c r="V231">
        <v>19</v>
      </c>
      <c r="W231" t="s">
        <v>37</v>
      </c>
      <c r="X231" t="s">
        <v>521</v>
      </c>
      <c r="Y231" t="s">
        <v>8</v>
      </c>
      <c r="Z231" s="5" t="s">
        <v>1004</v>
      </c>
      <c r="AA231" s="5" t="s">
        <v>1139</v>
      </c>
      <c r="AB231" t="s">
        <v>9</v>
      </c>
      <c r="AC231" s="2">
        <v>45573.625694444447</v>
      </c>
      <c r="AD231" s="2">
        <v>45573.625694444447</v>
      </c>
    </row>
    <row r="232" spans="1:30" x14ac:dyDescent="0.25">
      <c r="A232" t="s">
        <v>519</v>
      </c>
      <c r="B232" t="s">
        <v>1389</v>
      </c>
      <c r="C232" t="s">
        <v>522</v>
      </c>
      <c r="D232" t="s">
        <v>523</v>
      </c>
      <c r="E232" t="s">
        <v>10</v>
      </c>
      <c r="F232" t="s">
        <v>1184</v>
      </c>
      <c r="I232" s="5" t="s">
        <v>767</v>
      </c>
      <c r="J232" s="1">
        <v>42116</v>
      </c>
      <c r="K232" s="8">
        <v>62536151301</v>
      </c>
      <c r="O232" t="s">
        <v>2</v>
      </c>
      <c r="S232" t="s">
        <v>4</v>
      </c>
      <c r="T232" t="s">
        <v>175</v>
      </c>
      <c r="U232" t="s">
        <v>153</v>
      </c>
      <c r="V232">
        <v>5</v>
      </c>
      <c r="W232" t="s">
        <v>539</v>
      </c>
      <c r="X232" t="s">
        <v>521</v>
      </c>
      <c r="Y232" t="s">
        <v>8</v>
      </c>
      <c r="Z232" s="5" t="s">
        <v>1005</v>
      </c>
      <c r="AA232" s="5" t="s">
        <v>1140</v>
      </c>
      <c r="AB232" t="s">
        <v>9</v>
      </c>
      <c r="AC232" s="2">
        <v>45568.386805555558</v>
      </c>
      <c r="AD232" s="2">
        <v>45568.386805555558</v>
      </c>
    </row>
    <row r="233" spans="1:30" x14ac:dyDescent="0.25">
      <c r="A233" t="s">
        <v>519</v>
      </c>
      <c r="B233" t="s">
        <v>1389</v>
      </c>
      <c r="C233" t="s">
        <v>522</v>
      </c>
      <c r="D233" t="s">
        <v>523</v>
      </c>
      <c r="E233" t="s">
        <v>46</v>
      </c>
      <c r="F233" t="s">
        <v>1184</v>
      </c>
      <c r="I233" s="5" t="s">
        <v>876</v>
      </c>
      <c r="J233" s="1">
        <v>41827</v>
      </c>
      <c r="K233" s="8">
        <v>7893297352</v>
      </c>
      <c r="O233" t="s">
        <v>11</v>
      </c>
      <c r="S233" t="s">
        <v>4</v>
      </c>
      <c r="T233" t="s">
        <v>175</v>
      </c>
      <c r="U233" t="s">
        <v>445</v>
      </c>
      <c r="V233">
        <v>12</v>
      </c>
      <c r="W233" t="s">
        <v>31</v>
      </c>
      <c r="X233" t="s">
        <v>521</v>
      </c>
      <c r="Y233" t="s">
        <v>8</v>
      </c>
      <c r="Z233" s="5" t="s">
        <v>1350</v>
      </c>
      <c r="AA233" s="5" t="s">
        <v>1141</v>
      </c>
      <c r="AB233" t="s">
        <v>9</v>
      </c>
      <c r="AC233" s="2">
        <v>45569.399305555555</v>
      </c>
      <c r="AD233" s="2">
        <v>45569.399305555555</v>
      </c>
    </row>
    <row r="234" spans="1:30" x14ac:dyDescent="0.25">
      <c r="A234" t="s">
        <v>519</v>
      </c>
      <c r="B234" t="s">
        <v>1389</v>
      </c>
      <c r="C234" t="s">
        <v>522</v>
      </c>
      <c r="D234" t="s">
        <v>523</v>
      </c>
      <c r="E234" t="s">
        <v>18</v>
      </c>
      <c r="F234" t="s">
        <v>1184</v>
      </c>
      <c r="I234" s="5" t="s">
        <v>877</v>
      </c>
      <c r="J234" s="1">
        <v>42758</v>
      </c>
      <c r="K234" s="8">
        <v>63628170362</v>
      </c>
      <c r="O234" t="s">
        <v>11</v>
      </c>
      <c r="Q234" t="s">
        <v>446</v>
      </c>
      <c r="S234" t="s">
        <v>4</v>
      </c>
      <c r="T234" t="s">
        <v>24</v>
      </c>
      <c r="U234" t="s">
        <v>162</v>
      </c>
      <c r="V234">
        <v>5</v>
      </c>
      <c r="W234" t="s">
        <v>546</v>
      </c>
      <c r="X234" t="s">
        <v>521</v>
      </c>
      <c r="Y234" t="s">
        <v>8</v>
      </c>
      <c r="Z234" s="5" t="s">
        <v>1006</v>
      </c>
      <c r="AA234" s="5" t="s">
        <v>1351</v>
      </c>
      <c r="AB234" t="s">
        <v>9</v>
      </c>
      <c r="AC234" s="2">
        <v>45567.484027777777</v>
      </c>
      <c r="AD234" s="2">
        <v>45567.484027777777</v>
      </c>
    </row>
    <row r="235" spans="1:30" x14ac:dyDescent="0.25">
      <c r="A235" t="s">
        <v>519</v>
      </c>
      <c r="B235" t="s">
        <v>1388</v>
      </c>
      <c r="C235" t="s">
        <v>520</v>
      </c>
      <c r="D235" t="s">
        <v>523</v>
      </c>
      <c r="E235" t="s">
        <v>16</v>
      </c>
      <c r="F235" t="s">
        <v>1184</v>
      </c>
      <c r="I235" s="5" t="s">
        <v>878</v>
      </c>
      <c r="J235" s="1">
        <v>40479</v>
      </c>
      <c r="K235" s="8">
        <v>61284698335</v>
      </c>
      <c r="L235" s="7">
        <v>478626220130</v>
      </c>
      <c r="M235" t="s">
        <v>1</v>
      </c>
      <c r="N235" s="1">
        <v>41359</v>
      </c>
      <c r="O235" t="s">
        <v>2</v>
      </c>
      <c r="Q235" t="s">
        <v>447</v>
      </c>
      <c r="S235" t="s">
        <v>20</v>
      </c>
      <c r="T235" t="s">
        <v>547</v>
      </c>
      <c r="U235" t="s">
        <v>30</v>
      </c>
      <c r="V235">
        <v>4</v>
      </c>
      <c r="W235" t="s">
        <v>238</v>
      </c>
      <c r="X235" t="s">
        <v>1387</v>
      </c>
      <c r="Y235" t="s">
        <v>8</v>
      </c>
      <c r="Z235" s="5" t="s">
        <v>1352</v>
      </c>
      <c r="AA235" s="5" t="s">
        <v>1142</v>
      </c>
      <c r="AB235" t="s">
        <v>9</v>
      </c>
      <c r="AC235" s="2">
        <v>45582.723611111112</v>
      </c>
      <c r="AD235" s="2">
        <v>45582.723611111112</v>
      </c>
    </row>
    <row r="236" spans="1:30" x14ac:dyDescent="0.25">
      <c r="A236" t="s">
        <v>519</v>
      </c>
      <c r="B236" t="s">
        <v>1388</v>
      </c>
      <c r="C236" t="s">
        <v>520</v>
      </c>
      <c r="D236" t="s">
        <v>523</v>
      </c>
      <c r="E236" t="s">
        <v>1391</v>
      </c>
      <c r="F236" t="s">
        <v>1390</v>
      </c>
      <c r="I236" s="5" t="s">
        <v>879</v>
      </c>
      <c r="J236" s="1">
        <v>40012</v>
      </c>
      <c r="K236" s="8">
        <v>6865150309</v>
      </c>
      <c r="L236" s="7">
        <v>455124720126</v>
      </c>
      <c r="M236" t="s">
        <v>1</v>
      </c>
      <c r="N236" s="1">
        <v>41109</v>
      </c>
      <c r="O236" t="s">
        <v>2</v>
      </c>
      <c r="Q236" t="s">
        <v>448</v>
      </c>
      <c r="S236" t="s">
        <v>4</v>
      </c>
      <c r="T236" t="s">
        <v>449</v>
      </c>
      <c r="U236" t="s">
        <v>30</v>
      </c>
      <c r="V236">
        <v>9</v>
      </c>
      <c r="W236" t="s">
        <v>31</v>
      </c>
      <c r="X236" t="s">
        <v>521</v>
      </c>
      <c r="Y236" t="s">
        <v>8</v>
      </c>
      <c r="Z236" s="5" t="s">
        <v>1007</v>
      </c>
      <c r="AA236" s="5" t="s">
        <v>1353</v>
      </c>
      <c r="AB236" t="s">
        <v>9</v>
      </c>
      <c r="AC236" s="2">
        <v>45574.649305555555</v>
      </c>
      <c r="AD236" s="2">
        <v>45574.649305555555</v>
      </c>
    </row>
    <row r="237" spans="1:30" x14ac:dyDescent="0.25">
      <c r="A237" t="s">
        <v>519</v>
      </c>
      <c r="B237" t="s">
        <v>1389</v>
      </c>
      <c r="C237" t="s">
        <v>522</v>
      </c>
      <c r="D237" t="s">
        <v>523</v>
      </c>
      <c r="E237" t="s">
        <v>102</v>
      </c>
      <c r="F237" t="s">
        <v>1184</v>
      </c>
      <c r="I237" s="5" t="s">
        <v>768</v>
      </c>
      <c r="J237" s="1">
        <v>42935</v>
      </c>
      <c r="K237" s="8">
        <v>62826525379</v>
      </c>
      <c r="O237" t="s">
        <v>2</v>
      </c>
      <c r="P237" t="s">
        <v>349</v>
      </c>
      <c r="S237" t="s">
        <v>4</v>
      </c>
      <c r="T237" t="s">
        <v>21</v>
      </c>
      <c r="U237" t="s">
        <v>162</v>
      </c>
      <c r="V237">
        <v>2</v>
      </c>
      <c r="W237" t="s">
        <v>252</v>
      </c>
      <c r="X237" t="s">
        <v>521</v>
      </c>
      <c r="Y237" t="s">
        <v>8</v>
      </c>
      <c r="Z237" s="5" t="s">
        <v>1354</v>
      </c>
      <c r="AA237" s="5" t="s">
        <v>1143</v>
      </c>
      <c r="AB237" t="s">
        <v>9</v>
      </c>
      <c r="AC237" s="2">
        <v>45567.345833333333</v>
      </c>
      <c r="AD237" s="2">
        <v>45567.4375</v>
      </c>
    </row>
    <row r="238" spans="1:30" x14ac:dyDescent="0.25">
      <c r="A238" t="s">
        <v>519</v>
      </c>
      <c r="B238" t="s">
        <v>1388</v>
      </c>
      <c r="C238" t="s">
        <v>520</v>
      </c>
      <c r="D238" t="s">
        <v>523</v>
      </c>
      <c r="E238" t="s">
        <v>1391</v>
      </c>
      <c r="F238" t="s">
        <v>106</v>
      </c>
      <c r="I238" s="5" t="s">
        <v>769</v>
      </c>
      <c r="J238" s="1">
        <v>39681</v>
      </c>
      <c r="K238" s="8">
        <v>62022868307</v>
      </c>
      <c r="L238" s="7">
        <v>544263020147</v>
      </c>
      <c r="M238" t="s">
        <v>1</v>
      </c>
      <c r="N238" s="1">
        <v>41941</v>
      </c>
      <c r="O238" t="s">
        <v>2</v>
      </c>
      <c r="Q238" t="s">
        <v>450</v>
      </c>
      <c r="S238" t="s">
        <v>4</v>
      </c>
      <c r="T238" t="s">
        <v>438</v>
      </c>
      <c r="U238" t="s">
        <v>59</v>
      </c>
      <c r="V238">
        <v>9</v>
      </c>
      <c r="W238" t="s">
        <v>31</v>
      </c>
      <c r="X238" t="s">
        <v>521</v>
      </c>
      <c r="Y238" t="s">
        <v>8</v>
      </c>
      <c r="Z238" s="5" t="s">
        <v>1355</v>
      </c>
      <c r="AA238" s="5" t="s">
        <v>1356</v>
      </c>
      <c r="AB238" t="s">
        <v>9</v>
      </c>
      <c r="AC238" s="2">
        <v>45573.606944444444</v>
      </c>
      <c r="AD238" s="2">
        <v>45573.606944444444</v>
      </c>
    </row>
    <row r="239" spans="1:30" x14ac:dyDescent="0.25">
      <c r="A239" t="s">
        <v>519</v>
      </c>
      <c r="B239" t="s">
        <v>1388</v>
      </c>
      <c r="C239" t="s">
        <v>520</v>
      </c>
      <c r="D239" t="s">
        <v>523</v>
      </c>
      <c r="E239" t="s">
        <v>1391</v>
      </c>
      <c r="F239" t="s">
        <v>106</v>
      </c>
      <c r="I239" s="5" t="s">
        <v>770</v>
      </c>
      <c r="J239" s="1">
        <v>40086</v>
      </c>
      <c r="K239" s="8">
        <v>61827283378</v>
      </c>
      <c r="L239" s="7">
        <v>523008420142</v>
      </c>
      <c r="M239" t="s">
        <v>1</v>
      </c>
      <c r="N239" s="1">
        <v>42216</v>
      </c>
      <c r="O239" t="s">
        <v>2</v>
      </c>
      <c r="Q239" t="s">
        <v>451</v>
      </c>
      <c r="S239" t="s">
        <v>20</v>
      </c>
      <c r="T239" t="s">
        <v>227</v>
      </c>
      <c r="U239" t="s">
        <v>30</v>
      </c>
      <c r="V239">
        <v>487</v>
      </c>
      <c r="W239" t="s">
        <v>452</v>
      </c>
      <c r="X239" t="s">
        <v>1387</v>
      </c>
      <c r="Y239" t="s">
        <v>8</v>
      </c>
      <c r="Z239" s="5" t="s">
        <v>1008</v>
      </c>
      <c r="AA239" s="5" t="s">
        <v>1144</v>
      </c>
      <c r="AB239" t="s">
        <v>9</v>
      </c>
      <c r="AC239" s="2">
        <v>45573.623611111114</v>
      </c>
      <c r="AD239" s="2">
        <v>45573.623611111114</v>
      </c>
    </row>
    <row r="240" spans="1:30" x14ac:dyDescent="0.25">
      <c r="A240" t="s">
        <v>519</v>
      </c>
      <c r="B240" t="s">
        <v>1389</v>
      </c>
      <c r="C240" t="s">
        <v>522</v>
      </c>
      <c r="D240" t="s">
        <v>523</v>
      </c>
      <c r="E240" t="s">
        <v>23</v>
      </c>
      <c r="F240" t="s">
        <v>1184</v>
      </c>
      <c r="I240" s="5" t="s">
        <v>880</v>
      </c>
      <c r="J240" s="1">
        <v>41428</v>
      </c>
      <c r="K240" s="8">
        <v>62319118373</v>
      </c>
      <c r="O240" t="s">
        <v>2</v>
      </c>
      <c r="S240" t="s">
        <v>4</v>
      </c>
      <c r="T240" t="s">
        <v>453</v>
      </c>
      <c r="U240" t="s">
        <v>454</v>
      </c>
      <c r="V240">
        <v>16</v>
      </c>
      <c r="W240" t="s">
        <v>217</v>
      </c>
      <c r="X240" t="s">
        <v>521</v>
      </c>
      <c r="Y240" t="s">
        <v>8</v>
      </c>
      <c r="Z240" s="5" t="s">
        <v>1357</v>
      </c>
      <c r="AA240" s="5" t="s">
        <v>1145</v>
      </c>
      <c r="AB240" t="s">
        <v>9</v>
      </c>
      <c r="AC240" s="2">
        <v>45574.443749999999</v>
      </c>
      <c r="AD240" s="2">
        <v>45574.443749999999</v>
      </c>
    </row>
    <row r="241" spans="1:30" x14ac:dyDescent="0.25">
      <c r="A241" t="s">
        <v>519</v>
      </c>
      <c r="B241" t="s">
        <v>1389</v>
      </c>
      <c r="C241" t="s">
        <v>522</v>
      </c>
      <c r="D241" t="s">
        <v>523</v>
      </c>
      <c r="E241" t="s">
        <v>23</v>
      </c>
      <c r="F241" t="s">
        <v>1184</v>
      </c>
      <c r="I241" s="5" t="s">
        <v>881</v>
      </c>
      <c r="J241" s="1">
        <v>41428</v>
      </c>
      <c r="K241" s="8">
        <v>62319123377</v>
      </c>
      <c r="O241" t="s">
        <v>11</v>
      </c>
      <c r="S241" t="s">
        <v>4</v>
      </c>
      <c r="T241" t="s">
        <v>453</v>
      </c>
      <c r="U241" t="s">
        <v>454</v>
      </c>
      <c r="V241">
        <v>16</v>
      </c>
      <c r="W241" t="s">
        <v>217</v>
      </c>
      <c r="X241" t="s">
        <v>521</v>
      </c>
      <c r="Y241" t="s">
        <v>8</v>
      </c>
      <c r="Z241" s="5" t="s">
        <v>1357</v>
      </c>
      <c r="AA241" s="5" t="s">
        <v>1145</v>
      </c>
      <c r="AB241" t="s">
        <v>9</v>
      </c>
      <c r="AC241" s="2">
        <v>45574.445138888892</v>
      </c>
      <c r="AD241" s="2">
        <v>45574.445138888892</v>
      </c>
    </row>
    <row r="242" spans="1:30" x14ac:dyDescent="0.25">
      <c r="A242" t="s">
        <v>519</v>
      </c>
      <c r="B242" t="s">
        <v>1388</v>
      </c>
      <c r="C242" t="s">
        <v>520</v>
      </c>
      <c r="D242" t="s">
        <v>523</v>
      </c>
      <c r="E242" t="s">
        <v>1391</v>
      </c>
      <c r="F242" t="s">
        <v>106</v>
      </c>
      <c r="I242" s="5" t="s">
        <v>771</v>
      </c>
      <c r="J242" s="1">
        <v>39949</v>
      </c>
      <c r="K242" s="8">
        <v>62940665303</v>
      </c>
      <c r="L242" s="7">
        <v>648418420188</v>
      </c>
      <c r="M242" t="s">
        <v>1</v>
      </c>
      <c r="N242" s="1">
        <v>43129</v>
      </c>
      <c r="O242" t="s">
        <v>2</v>
      </c>
      <c r="Q242" t="s">
        <v>455</v>
      </c>
      <c r="S242" t="s">
        <v>4</v>
      </c>
      <c r="T242" t="s">
        <v>548</v>
      </c>
      <c r="U242" t="s">
        <v>30</v>
      </c>
      <c r="V242">
        <v>5</v>
      </c>
      <c r="W242" t="s">
        <v>549</v>
      </c>
      <c r="X242" t="s">
        <v>521</v>
      </c>
      <c r="Y242" t="s">
        <v>8</v>
      </c>
      <c r="Z242" s="5" t="s">
        <v>1358</v>
      </c>
      <c r="AA242" s="5" t="s">
        <v>1359</v>
      </c>
      <c r="AB242" t="s">
        <v>9</v>
      </c>
      <c r="AC242" s="2">
        <v>45574.584027777775</v>
      </c>
      <c r="AD242" s="2">
        <v>45574.584027777775</v>
      </c>
    </row>
    <row r="243" spans="1:30" x14ac:dyDescent="0.25">
      <c r="A243" t="s">
        <v>519</v>
      </c>
      <c r="B243" t="s">
        <v>1388</v>
      </c>
      <c r="C243" t="s">
        <v>520</v>
      </c>
      <c r="D243" t="s">
        <v>523</v>
      </c>
      <c r="E243" t="s">
        <v>27</v>
      </c>
      <c r="F243" t="s">
        <v>1184</v>
      </c>
      <c r="I243" s="5" t="s">
        <v>772</v>
      </c>
      <c r="J243" s="1">
        <v>40596</v>
      </c>
      <c r="K243" s="8">
        <v>62786864305</v>
      </c>
      <c r="L243" s="7">
        <v>632221120174</v>
      </c>
      <c r="M243" t="s">
        <v>1</v>
      </c>
      <c r="N243" s="1">
        <v>42979</v>
      </c>
      <c r="O243" t="s">
        <v>11</v>
      </c>
      <c r="Q243" t="s">
        <v>456</v>
      </c>
      <c r="S243" t="s">
        <v>20</v>
      </c>
      <c r="T243" t="s">
        <v>457</v>
      </c>
      <c r="U243" t="s">
        <v>30</v>
      </c>
      <c r="V243">
        <v>52</v>
      </c>
      <c r="W243" t="s">
        <v>296</v>
      </c>
      <c r="X243" t="s">
        <v>1387</v>
      </c>
      <c r="Y243" t="s">
        <v>8</v>
      </c>
      <c r="Z243" s="5" t="s">
        <v>1360</v>
      </c>
      <c r="AA243" s="5" t="s">
        <v>1146</v>
      </c>
      <c r="AB243" t="s">
        <v>9</v>
      </c>
      <c r="AC243" s="2">
        <v>45568.605555555558</v>
      </c>
      <c r="AD243" s="2">
        <v>45568.605555555558</v>
      </c>
    </row>
    <row r="244" spans="1:30" x14ac:dyDescent="0.25">
      <c r="A244" t="s">
        <v>519</v>
      </c>
      <c r="B244" t="s">
        <v>1388</v>
      </c>
      <c r="C244" t="s">
        <v>520</v>
      </c>
      <c r="D244" t="s">
        <v>523</v>
      </c>
      <c r="E244" t="s">
        <v>27</v>
      </c>
      <c r="F244" t="s">
        <v>1184</v>
      </c>
      <c r="I244" s="5" t="s">
        <v>773</v>
      </c>
      <c r="J244" s="1">
        <v>40703</v>
      </c>
      <c r="K244" s="8">
        <v>62894995300</v>
      </c>
      <c r="L244" s="7">
        <v>644296720189</v>
      </c>
      <c r="M244" t="s">
        <v>1</v>
      </c>
      <c r="N244" s="1">
        <v>43102</v>
      </c>
      <c r="O244" t="s">
        <v>2</v>
      </c>
      <c r="Q244" t="s">
        <v>458</v>
      </c>
      <c r="S244" t="s">
        <v>20</v>
      </c>
      <c r="T244" t="s">
        <v>459</v>
      </c>
      <c r="U244" t="s">
        <v>30</v>
      </c>
      <c r="V244">
        <v>29</v>
      </c>
      <c r="W244" t="s">
        <v>45</v>
      </c>
      <c r="X244" t="s">
        <v>1387</v>
      </c>
      <c r="Y244" t="s">
        <v>8</v>
      </c>
      <c r="Z244" s="5" t="s">
        <v>1009</v>
      </c>
      <c r="AA244" s="5" t="s">
        <v>1361</v>
      </c>
      <c r="AB244" t="s">
        <v>9</v>
      </c>
      <c r="AC244" s="2">
        <v>45568.626388888886</v>
      </c>
      <c r="AD244" s="2">
        <v>45568.626388888886</v>
      </c>
    </row>
    <row r="245" spans="1:30" x14ac:dyDescent="0.25">
      <c r="A245" t="s">
        <v>519</v>
      </c>
      <c r="B245" t="s">
        <v>1388</v>
      </c>
      <c r="C245" t="s">
        <v>520</v>
      </c>
      <c r="D245" t="s">
        <v>523</v>
      </c>
      <c r="E245" t="s">
        <v>0</v>
      </c>
      <c r="F245" t="s">
        <v>1184</v>
      </c>
      <c r="I245" s="5" t="s">
        <v>774</v>
      </c>
      <c r="J245" s="1">
        <v>41251</v>
      </c>
      <c r="K245" s="8">
        <v>62831647304</v>
      </c>
      <c r="L245" s="7">
        <v>637730620170</v>
      </c>
      <c r="M245" t="s">
        <v>1</v>
      </c>
      <c r="N245" s="1">
        <v>43039</v>
      </c>
      <c r="O245" t="s">
        <v>2</v>
      </c>
      <c r="Q245" t="s">
        <v>460</v>
      </c>
      <c r="S245" t="s">
        <v>4</v>
      </c>
      <c r="T245" t="s">
        <v>461</v>
      </c>
      <c r="U245" t="s">
        <v>6</v>
      </c>
      <c r="V245">
        <v>40</v>
      </c>
      <c r="W245" t="s">
        <v>40</v>
      </c>
      <c r="X245" t="s">
        <v>521</v>
      </c>
      <c r="Y245" t="s">
        <v>8</v>
      </c>
      <c r="Z245" s="5" t="s">
        <v>1010</v>
      </c>
      <c r="AA245" s="5" t="s">
        <v>1147</v>
      </c>
      <c r="AB245" t="s">
        <v>9</v>
      </c>
      <c r="AC245" s="2">
        <v>45566.586111111108</v>
      </c>
      <c r="AD245" s="2">
        <v>45566.586111111108</v>
      </c>
    </row>
    <row r="246" spans="1:30" x14ac:dyDescent="0.25">
      <c r="A246" t="s">
        <v>519</v>
      </c>
      <c r="B246" t="s">
        <v>1388</v>
      </c>
      <c r="C246" t="s">
        <v>520</v>
      </c>
      <c r="D246" t="s">
        <v>523</v>
      </c>
      <c r="E246" t="s">
        <v>16</v>
      </c>
      <c r="F246" t="s">
        <v>1184</v>
      </c>
      <c r="I246" s="5" t="s">
        <v>775</v>
      </c>
      <c r="J246" s="1">
        <v>39804</v>
      </c>
      <c r="K246" s="8">
        <v>62582361380</v>
      </c>
      <c r="L246" s="7">
        <v>609348020179</v>
      </c>
      <c r="M246" t="s">
        <v>1</v>
      </c>
      <c r="N246" s="1">
        <v>42741</v>
      </c>
      <c r="O246" t="s">
        <v>2</v>
      </c>
      <c r="Q246" t="s">
        <v>462</v>
      </c>
      <c r="S246" t="s">
        <v>4</v>
      </c>
      <c r="T246" t="s">
        <v>463</v>
      </c>
      <c r="U246" t="s">
        <v>30</v>
      </c>
      <c r="V246">
        <v>24</v>
      </c>
      <c r="W246" t="s">
        <v>15</v>
      </c>
      <c r="X246" t="s">
        <v>521</v>
      </c>
      <c r="Y246" t="s">
        <v>8</v>
      </c>
      <c r="Z246" s="5" t="s">
        <v>1011</v>
      </c>
      <c r="AA246" s="5" t="s">
        <v>1362</v>
      </c>
      <c r="AB246" t="s">
        <v>9</v>
      </c>
      <c r="AC246" s="2">
        <v>45582.728472222225</v>
      </c>
      <c r="AD246" s="2">
        <v>45582.728472222225</v>
      </c>
    </row>
    <row r="247" spans="1:30" x14ac:dyDescent="0.25">
      <c r="A247" t="s">
        <v>519</v>
      </c>
      <c r="B247" t="s">
        <v>1388</v>
      </c>
      <c r="C247" t="s">
        <v>520</v>
      </c>
      <c r="D247" t="s">
        <v>523</v>
      </c>
      <c r="E247" t="s">
        <v>1391</v>
      </c>
      <c r="F247" t="s">
        <v>106</v>
      </c>
      <c r="I247" s="5" t="s">
        <v>776</v>
      </c>
      <c r="J247" s="1">
        <v>40054</v>
      </c>
      <c r="K247" s="8">
        <v>62778880305</v>
      </c>
      <c r="L247" s="7">
        <v>631289920175</v>
      </c>
      <c r="M247" t="s">
        <v>1</v>
      </c>
      <c r="N247" s="1">
        <v>42971</v>
      </c>
      <c r="O247" t="s">
        <v>2</v>
      </c>
      <c r="Q247" t="s">
        <v>464</v>
      </c>
      <c r="S247" t="s">
        <v>4</v>
      </c>
      <c r="T247" t="s">
        <v>465</v>
      </c>
      <c r="U247" t="s">
        <v>30</v>
      </c>
      <c r="V247">
        <v>11</v>
      </c>
      <c r="W247" t="s">
        <v>191</v>
      </c>
      <c r="X247" t="s">
        <v>521</v>
      </c>
      <c r="Y247" t="s">
        <v>8</v>
      </c>
      <c r="Z247" s="5" t="s">
        <v>1012</v>
      </c>
      <c r="AA247" s="5" t="s">
        <v>1148</v>
      </c>
      <c r="AB247" t="s">
        <v>9</v>
      </c>
      <c r="AC247" s="2">
        <v>45573.602777777778</v>
      </c>
      <c r="AD247" s="2">
        <v>45573.602777777778</v>
      </c>
    </row>
    <row r="248" spans="1:30" x14ac:dyDescent="0.25">
      <c r="A248" t="s">
        <v>519</v>
      </c>
      <c r="B248" t="s">
        <v>1388</v>
      </c>
      <c r="C248" t="s">
        <v>520</v>
      </c>
      <c r="D248" t="s">
        <v>523</v>
      </c>
      <c r="E248" t="s">
        <v>0</v>
      </c>
      <c r="F248" t="s">
        <v>1184</v>
      </c>
      <c r="I248" s="5" t="s">
        <v>777</v>
      </c>
      <c r="J248" s="1">
        <v>40644</v>
      </c>
      <c r="K248" s="8">
        <v>63461767301</v>
      </c>
      <c r="L248" s="7">
        <v>707537120193</v>
      </c>
      <c r="M248" t="s">
        <v>1</v>
      </c>
      <c r="N248" s="1">
        <v>44400</v>
      </c>
      <c r="O248" t="s">
        <v>2</v>
      </c>
      <c r="S248" t="s">
        <v>4</v>
      </c>
      <c r="T248" t="s">
        <v>466</v>
      </c>
      <c r="U248" t="s">
        <v>30</v>
      </c>
      <c r="V248">
        <v>2</v>
      </c>
      <c r="W248" t="s">
        <v>31</v>
      </c>
      <c r="X248" t="s">
        <v>521</v>
      </c>
      <c r="Y248" t="s">
        <v>8</v>
      </c>
      <c r="Z248" s="5" t="s">
        <v>1013</v>
      </c>
      <c r="AA248" s="5" t="s">
        <v>1363</v>
      </c>
      <c r="AB248" t="s">
        <v>9</v>
      </c>
      <c r="AC248" s="2">
        <v>45566.64166666667</v>
      </c>
      <c r="AD248" s="2">
        <v>45566.64166666667</v>
      </c>
    </row>
    <row r="249" spans="1:30" x14ac:dyDescent="0.25">
      <c r="A249" t="s">
        <v>519</v>
      </c>
      <c r="B249" t="s">
        <v>1388</v>
      </c>
      <c r="C249" t="s">
        <v>520</v>
      </c>
      <c r="D249" t="s">
        <v>523</v>
      </c>
      <c r="E249" t="s">
        <v>1391</v>
      </c>
      <c r="F249" t="s">
        <v>1390</v>
      </c>
      <c r="I249" s="5" t="s">
        <v>882</v>
      </c>
      <c r="J249" s="1">
        <v>40101</v>
      </c>
      <c r="K249" s="8">
        <v>63324597358</v>
      </c>
      <c r="L249" s="7">
        <v>691140720197</v>
      </c>
      <c r="M249" t="s">
        <v>1</v>
      </c>
      <c r="N249" s="1">
        <v>43502</v>
      </c>
      <c r="O249" t="s">
        <v>11</v>
      </c>
      <c r="Q249" t="s">
        <v>467</v>
      </c>
      <c r="S249" t="s">
        <v>20</v>
      </c>
      <c r="T249" t="s">
        <v>468</v>
      </c>
      <c r="U249" t="s">
        <v>30</v>
      </c>
      <c r="V249">
        <v>16</v>
      </c>
      <c r="W249" t="s">
        <v>45</v>
      </c>
      <c r="X249" t="s">
        <v>1387</v>
      </c>
      <c r="Y249" t="s">
        <v>8</v>
      </c>
      <c r="Z249" s="5" t="s">
        <v>1364</v>
      </c>
      <c r="AA249" s="5" t="s">
        <v>1365</v>
      </c>
      <c r="AB249" t="s">
        <v>9</v>
      </c>
      <c r="AC249" s="2">
        <v>45574.701388888891</v>
      </c>
      <c r="AD249" s="2">
        <v>45574.701388888891</v>
      </c>
    </row>
    <row r="250" spans="1:30" x14ac:dyDescent="0.25">
      <c r="A250" t="s">
        <v>519</v>
      </c>
      <c r="B250" t="s">
        <v>1388</v>
      </c>
      <c r="C250" t="s">
        <v>520</v>
      </c>
      <c r="D250" t="s">
        <v>523</v>
      </c>
      <c r="E250" t="s">
        <v>0</v>
      </c>
      <c r="F250" t="s">
        <v>1184</v>
      </c>
      <c r="I250" s="5" t="s">
        <v>883</v>
      </c>
      <c r="J250" s="1">
        <v>40971</v>
      </c>
      <c r="K250" s="8">
        <v>62341605303</v>
      </c>
      <c r="L250" s="7">
        <v>578337020165</v>
      </c>
      <c r="M250" t="s">
        <v>1</v>
      </c>
      <c r="N250" s="1">
        <v>42375</v>
      </c>
      <c r="O250" t="s">
        <v>11</v>
      </c>
      <c r="Q250" t="s">
        <v>469</v>
      </c>
      <c r="S250" t="s">
        <v>4</v>
      </c>
      <c r="T250" t="s">
        <v>470</v>
      </c>
      <c r="U250" t="s">
        <v>59</v>
      </c>
      <c r="V250">
        <v>15</v>
      </c>
      <c r="W250" t="s">
        <v>37</v>
      </c>
      <c r="X250" t="s">
        <v>521</v>
      </c>
      <c r="Y250" t="s">
        <v>8</v>
      </c>
      <c r="Z250" s="5" t="s">
        <v>1366</v>
      </c>
      <c r="AA250" t="s">
        <v>1184</v>
      </c>
      <c r="AB250" t="s">
        <v>9</v>
      </c>
      <c r="AC250" s="2">
        <v>45566.591666666667</v>
      </c>
      <c r="AD250" s="2">
        <v>45566.591666666667</v>
      </c>
    </row>
    <row r="251" spans="1:30" x14ac:dyDescent="0.25">
      <c r="A251" t="s">
        <v>519</v>
      </c>
      <c r="B251" t="s">
        <v>1388</v>
      </c>
      <c r="C251" t="s">
        <v>520</v>
      </c>
      <c r="D251" t="s">
        <v>523</v>
      </c>
      <c r="E251" t="s">
        <v>1391</v>
      </c>
      <c r="F251" t="s">
        <v>1390</v>
      </c>
      <c r="I251" s="5" t="s">
        <v>884</v>
      </c>
      <c r="J251" s="1">
        <v>39835</v>
      </c>
      <c r="K251" s="8">
        <v>62654479390</v>
      </c>
      <c r="L251" s="7">
        <v>617509520176</v>
      </c>
      <c r="M251" t="s">
        <v>1</v>
      </c>
      <c r="N251" s="1">
        <v>42830</v>
      </c>
      <c r="O251" t="s">
        <v>2</v>
      </c>
      <c r="Q251" t="s">
        <v>471</v>
      </c>
      <c r="S251" t="s">
        <v>4</v>
      </c>
      <c r="T251" t="s">
        <v>472</v>
      </c>
      <c r="U251" t="s">
        <v>30</v>
      </c>
      <c r="W251" t="s">
        <v>114</v>
      </c>
      <c r="X251" t="s">
        <v>521</v>
      </c>
      <c r="Y251" t="s">
        <v>8</v>
      </c>
      <c r="Z251" s="5" t="s">
        <v>1014</v>
      </c>
      <c r="AA251" s="5" t="s">
        <v>1367</v>
      </c>
      <c r="AB251" t="s">
        <v>9</v>
      </c>
      <c r="AC251" s="2">
        <v>45574.697222222225</v>
      </c>
      <c r="AD251" s="2">
        <v>45574.697222222225</v>
      </c>
    </row>
    <row r="252" spans="1:30" x14ac:dyDescent="0.25">
      <c r="A252" t="s">
        <v>519</v>
      </c>
      <c r="B252" t="s">
        <v>1388</v>
      </c>
      <c r="C252" t="s">
        <v>520</v>
      </c>
      <c r="D252" t="s">
        <v>523</v>
      </c>
      <c r="E252" t="s">
        <v>0</v>
      </c>
      <c r="F252" t="s">
        <v>1184</v>
      </c>
      <c r="I252" s="5" t="s">
        <v>778</v>
      </c>
      <c r="J252" s="1">
        <v>41044</v>
      </c>
      <c r="K252" s="8">
        <v>62059704308</v>
      </c>
      <c r="L252" s="7">
        <v>548206020145</v>
      </c>
      <c r="M252" t="s">
        <v>1</v>
      </c>
      <c r="N252" s="1">
        <v>41990</v>
      </c>
      <c r="O252" t="s">
        <v>11</v>
      </c>
      <c r="Q252" t="s">
        <v>473</v>
      </c>
      <c r="S252" t="s">
        <v>20</v>
      </c>
      <c r="T252" t="s">
        <v>474</v>
      </c>
      <c r="U252" t="s">
        <v>30</v>
      </c>
      <c r="V252">
        <v>7</v>
      </c>
      <c r="W252" t="s">
        <v>550</v>
      </c>
      <c r="X252" t="s">
        <v>1387</v>
      </c>
      <c r="Y252" t="s">
        <v>8</v>
      </c>
      <c r="Z252" s="5" t="s">
        <v>1015</v>
      </c>
      <c r="AA252" s="5" t="s">
        <v>1149</v>
      </c>
      <c r="AB252" t="s">
        <v>9</v>
      </c>
      <c r="AC252" s="2">
        <v>45566.595138888886</v>
      </c>
      <c r="AD252" s="2">
        <v>45566.595138888886</v>
      </c>
    </row>
    <row r="253" spans="1:30" x14ac:dyDescent="0.25">
      <c r="A253" t="s">
        <v>519</v>
      </c>
      <c r="B253" t="s">
        <v>1389</v>
      </c>
      <c r="C253" t="s">
        <v>522</v>
      </c>
      <c r="D253" t="s">
        <v>523</v>
      </c>
      <c r="E253" t="s">
        <v>102</v>
      </c>
      <c r="F253" t="s">
        <v>1184</v>
      </c>
      <c r="I253" s="5" t="s">
        <v>779</v>
      </c>
      <c r="J253" s="1">
        <v>42870</v>
      </c>
      <c r="K253" s="8">
        <v>63299563327</v>
      </c>
      <c r="O253" t="s">
        <v>11</v>
      </c>
      <c r="P253" t="s">
        <v>475</v>
      </c>
      <c r="S253" t="s">
        <v>4</v>
      </c>
      <c r="T253" t="s">
        <v>239</v>
      </c>
      <c r="U253" t="s">
        <v>254</v>
      </c>
      <c r="V253">
        <v>13</v>
      </c>
      <c r="W253" t="s">
        <v>37</v>
      </c>
      <c r="X253" t="s">
        <v>521</v>
      </c>
      <c r="Y253" t="s">
        <v>8</v>
      </c>
      <c r="Z253" s="5" t="s">
        <v>1016</v>
      </c>
      <c r="AA253" t="s">
        <v>1184</v>
      </c>
      <c r="AB253" t="s">
        <v>9</v>
      </c>
      <c r="AC253" s="2">
        <v>45567.347222222219</v>
      </c>
      <c r="AD253" s="2">
        <v>45567.4375</v>
      </c>
    </row>
    <row r="254" spans="1:30" x14ac:dyDescent="0.25">
      <c r="A254" t="s">
        <v>519</v>
      </c>
      <c r="B254" t="s">
        <v>1388</v>
      </c>
      <c r="C254" t="s">
        <v>520</v>
      </c>
      <c r="D254" t="s">
        <v>523</v>
      </c>
      <c r="E254" t="s">
        <v>27</v>
      </c>
      <c r="F254" t="s">
        <v>1184</v>
      </c>
      <c r="I254" s="5" t="s">
        <v>780</v>
      </c>
      <c r="J254" s="1">
        <v>40878</v>
      </c>
      <c r="K254" s="8">
        <v>63401643312</v>
      </c>
      <c r="L254" s="7">
        <v>577088420156</v>
      </c>
      <c r="M254" t="s">
        <v>1</v>
      </c>
      <c r="N254" s="1">
        <v>42353</v>
      </c>
      <c r="O254" t="s">
        <v>11</v>
      </c>
      <c r="Q254" t="s">
        <v>476</v>
      </c>
      <c r="S254" t="s">
        <v>4</v>
      </c>
      <c r="T254" t="s">
        <v>477</v>
      </c>
      <c r="U254" t="s">
        <v>30</v>
      </c>
      <c r="V254">
        <v>47</v>
      </c>
      <c r="W254" t="s">
        <v>217</v>
      </c>
      <c r="X254" t="s">
        <v>521</v>
      </c>
      <c r="Y254" t="s">
        <v>8</v>
      </c>
      <c r="Z254" s="5" t="s">
        <v>1017</v>
      </c>
      <c r="AA254" s="5" t="s">
        <v>1368</v>
      </c>
      <c r="AB254" t="s">
        <v>9</v>
      </c>
      <c r="AC254" s="2">
        <v>45568.622916666667</v>
      </c>
      <c r="AD254" s="2">
        <v>45568.622916666667</v>
      </c>
    </row>
    <row r="255" spans="1:30" x14ac:dyDescent="0.25">
      <c r="A255" t="s">
        <v>519</v>
      </c>
      <c r="B255" t="s">
        <v>1388</v>
      </c>
      <c r="C255" t="s">
        <v>520</v>
      </c>
      <c r="D255" t="s">
        <v>523</v>
      </c>
      <c r="E255" t="s">
        <v>27</v>
      </c>
      <c r="F255" t="s">
        <v>1184</v>
      </c>
      <c r="I255" s="5" t="s">
        <v>781</v>
      </c>
      <c r="J255" s="1">
        <v>40755</v>
      </c>
      <c r="K255" s="8">
        <v>8292460373</v>
      </c>
      <c r="L255" s="7">
        <v>578367120168</v>
      </c>
      <c r="M255" t="s">
        <v>1</v>
      </c>
      <c r="N255" s="1">
        <v>42375</v>
      </c>
      <c r="O255" t="s">
        <v>11</v>
      </c>
      <c r="Q255" t="s">
        <v>478</v>
      </c>
      <c r="S255" t="s">
        <v>4</v>
      </c>
      <c r="T255" t="s">
        <v>479</v>
      </c>
      <c r="U255" t="s">
        <v>6</v>
      </c>
      <c r="V255">
        <v>5</v>
      </c>
      <c r="W255" t="s">
        <v>31</v>
      </c>
      <c r="X255" t="s">
        <v>521</v>
      </c>
      <c r="Y255" t="s">
        <v>8</v>
      </c>
      <c r="Z255" s="5" t="s">
        <v>1369</v>
      </c>
      <c r="AA255" s="5" t="s">
        <v>1150</v>
      </c>
      <c r="AB255" t="s">
        <v>9</v>
      </c>
      <c r="AC255" s="2">
        <v>45567.699305555558</v>
      </c>
      <c r="AD255" s="2">
        <v>45567.699305555558</v>
      </c>
    </row>
    <row r="256" spans="1:30" x14ac:dyDescent="0.25">
      <c r="A256" t="s">
        <v>519</v>
      </c>
      <c r="B256" t="s">
        <v>1389</v>
      </c>
      <c r="C256" t="s">
        <v>522</v>
      </c>
      <c r="D256" t="s">
        <v>523</v>
      </c>
      <c r="E256" t="s">
        <v>23</v>
      </c>
      <c r="F256" t="s">
        <v>1184</v>
      </c>
      <c r="I256" s="5" t="s">
        <v>782</v>
      </c>
      <c r="J256" s="1">
        <v>41072</v>
      </c>
      <c r="K256" s="8">
        <v>63022833377</v>
      </c>
      <c r="O256" t="s">
        <v>11</v>
      </c>
      <c r="S256" t="s">
        <v>20</v>
      </c>
      <c r="T256" t="s">
        <v>350</v>
      </c>
      <c r="U256" t="s">
        <v>30</v>
      </c>
      <c r="V256">
        <v>634</v>
      </c>
      <c r="W256" t="s">
        <v>22</v>
      </c>
      <c r="X256" t="s">
        <v>1387</v>
      </c>
      <c r="Y256" t="s">
        <v>8</v>
      </c>
      <c r="Z256" s="5" t="s">
        <v>932</v>
      </c>
      <c r="AA256" s="5" t="s">
        <v>1237</v>
      </c>
      <c r="AB256" t="s">
        <v>9</v>
      </c>
      <c r="AC256" s="2">
        <v>45574.449305555558</v>
      </c>
      <c r="AD256" s="2">
        <v>45574.449305555558</v>
      </c>
    </row>
    <row r="257" spans="1:30" x14ac:dyDescent="0.25">
      <c r="A257" t="s">
        <v>519</v>
      </c>
      <c r="B257" t="s">
        <v>1389</v>
      </c>
      <c r="C257" t="s">
        <v>522</v>
      </c>
      <c r="D257" t="s">
        <v>523</v>
      </c>
      <c r="E257" t="s">
        <v>46</v>
      </c>
      <c r="F257" t="s">
        <v>1184</v>
      </c>
      <c r="I257" s="5" t="s">
        <v>783</v>
      </c>
      <c r="J257" s="1">
        <v>42094</v>
      </c>
      <c r="K257" s="8">
        <v>62894985339</v>
      </c>
      <c r="O257" t="s">
        <v>11</v>
      </c>
      <c r="S257" t="s">
        <v>20</v>
      </c>
      <c r="T257" t="s">
        <v>480</v>
      </c>
      <c r="U257" t="s">
        <v>30</v>
      </c>
      <c r="V257">
        <v>29</v>
      </c>
      <c r="W257" t="s">
        <v>481</v>
      </c>
      <c r="X257" t="s">
        <v>1387</v>
      </c>
      <c r="Y257" t="s">
        <v>8</v>
      </c>
      <c r="Z257" s="5" t="s">
        <v>1009</v>
      </c>
      <c r="AA257" s="5" t="s">
        <v>1151</v>
      </c>
      <c r="AB257" t="s">
        <v>9</v>
      </c>
      <c r="AC257" s="2">
        <v>45569.402083333334</v>
      </c>
      <c r="AD257" s="2">
        <v>45569.402083333334</v>
      </c>
    </row>
    <row r="258" spans="1:30" x14ac:dyDescent="0.25">
      <c r="A258" t="s">
        <v>519</v>
      </c>
      <c r="B258" t="s">
        <v>1388</v>
      </c>
      <c r="C258" t="s">
        <v>520</v>
      </c>
      <c r="D258" t="s">
        <v>523</v>
      </c>
      <c r="E258" t="s">
        <v>16</v>
      </c>
      <c r="F258" t="s">
        <v>1184</v>
      </c>
      <c r="I258" s="5" t="s">
        <v>784</v>
      </c>
      <c r="J258" s="1">
        <v>39985</v>
      </c>
      <c r="K258" s="8">
        <v>62008221318</v>
      </c>
      <c r="O258" t="s">
        <v>11</v>
      </c>
      <c r="S258" t="s">
        <v>4</v>
      </c>
      <c r="T258" t="s">
        <v>136</v>
      </c>
      <c r="U258" t="s">
        <v>482</v>
      </c>
      <c r="V258">
        <v>13</v>
      </c>
      <c r="W258" t="s">
        <v>40</v>
      </c>
      <c r="X258" t="s">
        <v>521</v>
      </c>
      <c r="Y258" t="s">
        <v>8</v>
      </c>
      <c r="Z258" s="5" t="s">
        <v>1370</v>
      </c>
      <c r="AA258" s="5" t="s">
        <v>1152</v>
      </c>
      <c r="AB258" t="s">
        <v>9</v>
      </c>
      <c r="AC258" s="2">
        <v>45583.325694444444</v>
      </c>
      <c r="AD258" s="2">
        <v>45583.325694444444</v>
      </c>
    </row>
    <row r="259" spans="1:30" x14ac:dyDescent="0.25">
      <c r="A259" t="s">
        <v>519</v>
      </c>
      <c r="B259" t="s">
        <v>1388</v>
      </c>
      <c r="C259" t="s">
        <v>520</v>
      </c>
      <c r="D259" t="s">
        <v>523</v>
      </c>
      <c r="E259" t="s">
        <v>16</v>
      </c>
      <c r="F259" t="s">
        <v>1184</v>
      </c>
      <c r="I259" s="5" t="s">
        <v>785</v>
      </c>
      <c r="J259" s="1">
        <v>40202</v>
      </c>
      <c r="K259" s="8">
        <v>61758114371</v>
      </c>
      <c r="O259" t="s">
        <v>11</v>
      </c>
      <c r="S259" t="s">
        <v>4</v>
      </c>
      <c r="T259" t="s">
        <v>77</v>
      </c>
      <c r="U259" t="s">
        <v>482</v>
      </c>
      <c r="V259">
        <v>53</v>
      </c>
      <c r="W259" t="s">
        <v>40</v>
      </c>
      <c r="X259" t="s">
        <v>521</v>
      </c>
      <c r="Y259" t="s">
        <v>8</v>
      </c>
      <c r="Z259" s="5" t="s">
        <v>1371</v>
      </c>
      <c r="AA259" s="5" t="s">
        <v>1153</v>
      </c>
      <c r="AB259" t="s">
        <v>9</v>
      </c>
      <c r="AC259" s="2">
        <v>45583.336805555555</v>
      </c>
      <c r="AD259" s="2">
        <v>45583.336805555555</v>
      </c>
    </row>
    <row r="260" spans="1:30" x14ac:dyDescent="0.25">
      <c r="A260" t="s">
        <v>519</v>
      </c>
      <c r="B260" t="s">
        <v>1388</v>
      </c>
      <c r="C260" t="s">
        <v>520</v>
      </c>
      <c r="D260" t="s">
        <v>523</v>
      </c>
      <c r="E260" t="s">
        <v>0</v>
      </c>
      <c r="F260" t="s">
        <v>1184</v>
      </c>
      <c r="I260" s="5" t="s">
        <v>786</v>
      </c>
      <c r="J260" s="1">
        <v>41244</v>
      </c>
      <c r="K260" s="8">
        <v>62340882362</v>
      </c>
      <c r="L260" s="7">
        <v>578275720169</v>
      </c>
      <c r="M260" t="s">
        <v>1</v>
      </c>
      <c r="N260" s="1">
        <v>42375</v>
      </c>
      <c r="O260" t="s">
        <v>11</v>
      </c>
      <c r="Q260" t="s">
        <v>483</v>
      </c>
      <c r="S260" t="s">
        <v>20</v>
      </c>
      <c r="T260" t="s">
        <v>484</v>
      </c>
      <c r="U260" t="s">
        <v>30</v>
      </c>
      <c r="V260">
        <v>25</v>
      </c>
      <c r="W260" t="s">
        <v>45</v>
      </c>
      <c r="X260" t="s">
        <v>1387</v>
      </c>
      <c r="Y260" t="s">
        <v>8</v>
      </c>
      <c r="Z260" s="5" t="s">
        <v>1018</v>
      </c>
      <c r="AA260" s="5" t="s">
        <v>1154</v>
      </c>
      <c r="AB260" t="s">
        <v>9</v>
      </c>
      <c r="AC260" s="2">
        <v>45566.67083333333</v>
      </c>
      <c r="AD260" s="2">
        <v>45566.67083333333</v>
      </c>
    </row>
    <row r="261" spans="1:30" x14ac:dyDescent="0.25">
      <c r="A261" t="s">
        <v>519</v>
      </c>
      <c r="B261" t="s">
        <v>1389</v>
      </c>
      <c r="C261" t="s">
        <v>522</v>
      </c>
      <c r="D261" t="s">
        <v>523</v>
      </c>
      <c r="E261" t="s">
        <v>10</v>
      </c>
      <c r="F261" t="s">
        <v>1184</v>
      </c>
      <c r="I261" s="5" t="s">
        <v>787</v>
      </c>
      <c r="J261" s="1">
        <v>42306</v>
      </c>
      <c r="K261" s="8">
        <v>62883284300</v>
      </c>
      <c r="O261" t="s">
        <v>11</v>
      </c>
      <c r="S261" t="s">
        <v>4</v>
      </c>
      <c r="T261" t="s">
        <v>485</v>
      </c>
      <c r="U261" t="s">
        <v>486</v>
      </c>
      <c r="V261">
        <v>25</v>
      </c>
      <c r="W261" t="s">
        <v>215</v>
      </c>
      <c r="X261" t="s">
        <v>521</v>
      </c>
      <c r="Y261" t="s">
        <v>8</v>
      </c>
      <c r="Z261" s="5" t="s">
        <v>1019</v>
      </c>
      <c r="AA261" s="5" t="s">
        <v>1372</v>
      </c>
      <c r="AB261" t="s">
        <v>9</v>
      </c>
      <c r="AC261" s="2">
        <v>45568.387499999997</v>
      </c>
      <c r="AD261" s="2">
        <v>45568.387499999997</v>
      </c>
    </row>
    <row r="262" spans="1:30" x14ac:dyDescent="0.25">
      <c r="A262" t="s">
        <v>519</v>
      </c>
      <c r="B262" t="s">
        <v>1388</v>
      </c>
      <c r="C262" t="s">
        <v>520</v>
      </c>
      <c r="D262" t="s">
        <v>523</v>
      </c>
      <c r="E262" t="s">
        <v>0</v>
      </c>
      <c r="F262" t="s">
        <v>1184</v>
      </c>
      <c r="I262" s="5" t="s">
        <v>885</v>
      </c>
      <c r="J262" s="1">
        <v>41244</v>
      </c>
      <c r="K262" s="8">
        <v>62078478300</v>
      </c>
      <c r="L262" s="7">
        <v>550592720153</v>
      </c>
      <c r="M262" t="s">
        <v>1</v>
      </c>
      <c r="N262" s="1">
        <v>42020</v>
      </c>
      <c r="O262" t="s">
        <v>2</v>
      </c>
      <c r="Q262" t="s">
        <v>487</v>
      </c>
      <c r="S262" t="s">
        <v>4</v>
      </c>
      <c r="T262" t="s">
        <v>216</v>
      </c>
      <c r="U262" t="s">
        <v>30</v>
      </c>
      <c r="V262">
        <v>29</v>
      </c>
      <c r="W262" t="s">
        <v>527</v>
      </c>
      <c r="X262" t="s">
        <v>521</v>
      </c>
      <c r="Y262" t="s">
        <v>8</v>
      </c>
      <c r="Z262" s="5" t="s">
        <v>1020</v>
      </c>
      <c r="AA262" s="5" t="s">
        <v>1373</v>
      </c>
      <c r="AB262" t="s">
        <v>9</v>
      </c>
      <c r="AC262" s="2">
        <v>45566.649305555555</v>
      </c>
      <c r="AD262" s="2">
        <v>45566.649305555555</v>
      </c>
    </row>
    <row r="263" spans="1:30" x14ac:dyDescent="0.25">
      <c r="A263" t="s">
        <v>519</v>
      </c>
      <c r="B263" t="s">
        <v>1389</v>
      </c>
      <c r="C263" t="s">
        <v>522</v>
      </c>
      <c r="D263" t="s">
        <v>523</v>
      </c>
      <c r="E263" t="s">
        <v>18</v>
      </c>
      <c r="F263" t="s">
        <v>1184</v>
      </c>
      <c r="I263" s="5" t="s">
        <v>886</v>
      </c>
      <c r="J263" s="1">
        <v>42568</v>
      </c>
      <c r="K263" s="8">
        <v>62573445305</v>
      </c>
      <c r="O263" t="s">
        <v>11</v>
      </c>
      <c r="Q263" t="s">
        <v>488</v>
      </c>
      <c r="S263" t="s">
        <v>4</v>
      </c>
      <c r="T263" t="s">
        <v>489</v>
      </c>
      <c r="U263" t="s">
        <v>211</v>
      </c>
      <c r="V263">
        <v>51</v>
      </c>
      <c r="W263" t="s">
        <v>40</v>
      </c>
      <c r="X263" t="s">
        <v>521</v>
      </c>
      <c r="Y263" t="s">
        <v>8</v>
      </c>
      <c r="Z263" s="5" t="s">
        <v>1021</v>
      </c>
      <c r="AA263" s="5" t="s">
        <v>1374</v>
      </c>
      <c r="AB263" t="s">
        <v>9</v>
      </c>
      <c r="AC263" s="2">
        <v>45567.48541666667</v>
      </c>
      <c r="AD263" s="2">
        <v>45567.48541666667</v>
      </c>
    </row>
    <row r="264" spans="1:30" x14ac:dyDescent="0.25">
      <c r="A264" t="s">
        <v>519</v>
      </c>
      <c r="B264" t="s">
        <v>1388</v>
      </c>
      <c r="C264" t="s">
        <v>520</v>
      </c>
      <c r="D264" t="s">
        <v>523</v>
      </c>
      <c r="E264" t="s">
        <v>0</v>
      </c>
      <c r="F264" t="s">
        <v>1184</v>
      </c>
      <c r="I264" s="5" t="s">
        <v>788</v>
      </c>
      <c r="J264" s="1">
        <v>41056</v>
      </c>
      <c r="K264" s="8">
        <v>62578771308</v>
      </c>
      <c r="L264" s="7">
        <v>608987420174</v>
      </c>
      <c r="M264" t="s">
        <v>1</v>
      </c>
      <c r="N264" s="1">
        <v>44347</v>
      </c>
      <c r="O264" t="s">
        <v>2</v>
      </c>
      <c r="Q264" t="s">
        <v>490</v>
      </c>
      <c r="S264" t="s">
        <v>4</v>
      </c>
      <c r="T264" t="s">
        <v>289</v>
      </c>
      <c r="U264" t="s">
        <v>491</v>
      </c>
      <c r="V264">
        <v>33</v>
      </c>
      <c r="W264" t="s">
        <v>31</v>
      </c>
      <c r="X264" t="s">
        <v>521</v>
      </c>
      <c r="Y264" t="s">
        <v>8</v>
      </c>
      <c r="Z264" s="5" t="s">
        <v>1375</v>
      </c>
      <c r="AA264" s="5" t="s">
        <v>1155</v>
      </c>
      <c r="AB264" t="s">
        <v>9</v>
      </c>
      <c r="AC264" s="2">
        <v>45566.611805555556</v>
      </c>
      <c r="AD264" s="2">
        <v>45566.611805555556</v>
      </c>
    </row>
    <row r="265" spans="1:30" x14ac:dyDescent="0.25">
      <c r="A265" t="s">
        <v>519</v>
      </c>
      <c r="B265" t="s">
        <v>1389</v>
      </c>
      <c r="C265" t="s">
        <v>522</v>
      </c>
      <c r="D265" t="s">
        <v>523</v>
      </c>
      <c r="E265" t="s">
        <v>18</v>
      </c>
      <c r="F265" t="s">
        <v>1184</v>
      </c>
      <c r="I265" s="5" t="s">
        <v>887</v>
      </c>
      <c r="J265" s="1">
        <v>42709</v>
      </c>
      <c r="K265" s="8">
        <v>63528676345</v>
      </c>
      <c r="O265" t="s">
        <v>2</v>
      </c>
      <c r="Q265" t="s">
        <v>492</v>
      </c>
      <c r="S265" t="s">
        <v>4</v>
      </c>
      <c r="T265" t="s">
        <v>493</v>
      </c>
      <c r="U265" t="s">
        <v>266</v>
      </c>
      <c r="V265">
        <v>35</v>
      </c>
      <c r="W265" t="s">
        <v>40</v>
      </c>
      <c r="X265" t="s">
        <v>521</v>
      </c>
      <c r="Y265" t="s">
        <v>8</v>
      </c>
      <c r="Z265" s="5" t="s">
        <v>1376</v>
      </c>
      <c r="AA265" s="5" t="s">
        <v>1377</v>
      </c>
      <c r="AB265" t="s">
        <v>9</v>
      </c>
      <c r="AC265" s="2">
        <v>45567.486805555556</v>
      </c>
      <c r="AD265" s="2">
        <v>45567.486805555556</v>
      </c>
    </row>
    <row r="266" spans="1:30" x14ac:dyDescent="0.25">
      <c r="A266" t="s">
        <v>519</v>
      </c>
      <c r="B266" t="s">
        <v>1388</v>
      </c>
      <c r="C266" t="s">
        <v>520</v>
      </c>
      <c r="D266" t="s">
        <v>523</v>
      </c>
      <c r="E266" t="s">
        <v>16</v>
      </c>
      <c r="F266" t="s">
        <v>1184</v>
      </c>
      <c r="I266" s="5" t="s">
        <v>888</v>
      </c>
      <c r="J266" s="1">
        <v>40481</v>
      </c>
      <c r="K266" s="8">
        <v>7862452399</v>
      </c>
      <c r="O266" t="s">
        <v>2</v>
      </c>
      <c r="S266" t="s">
        <v>4</v>
      </c>
      <c r="T266" t="s">
        <v>494</v>
      </c>
      <c r="U266" t="s">
        <v>495</v>
      </c>
      <c r="V266">
        <v>29</v>
      </c>
      <c r="W266" t="s">
        <v>31</v>
      </c>
      <c r="X266" t="s">
        <v>521</v>
      </c>
      <c r="Y266" t="s">
        <v>8</v>
      </c>
      <c r="Z266" s="5" t="s">
        <v>1378</v>
      </c>
      <c r="AA266" s="5" t="s">
        <v>1379</v>
      </c>
      <c r="AB266" t="s">
        <v>9</v>
      </c>
      <c r="AC266" s="2">
        <v>45583.327777777777</v>
      </c>
      <c r="AD266" s="2">
        <v>45583.327777777777</v>
      </c>
    </row>
    <row r="267" spans="1:30" x14ac:dyDescent="0.25">
      <c r="A267" t="s">
        <v>519</v>
      </c>
      <c r="B267" t="s">
        <v>1388</v>
      </c>
      <c r="C267" t="s">
        <v>520</v>
      </c>
      <c r="D267" t="s">
        <v>523</v>
      </c>
      <c r="E267" t="s">
        <v>27</v>
      </c>
      <c r="F267" t="s">
        <v>1184</v>
      </c>
      <c r="I267" s="5" t="s">
        <v>789</v>
      </c>
      <c r="J267" s="1">
        <v>40870</v>
      </c>
      <c r="K267" s="8">
        <v>62293627322</v>
      </c>
      <c r="L267" s="7">
        <v>572765520152</v>
      </c>
      <c r="M267" t="s">
        <v>1</v>
      </c>
      <c r="N267" s="1">
        <v>42299</v>
      </c>
      <c r="O267" t="s">
        <v>2</v>
      </c>
      <c r="Q267" t="s">
        <v>496</v>
      </c>
      <c r="S267" t="s">
        <v>4</v>
      </c>
      <c r="T267" t="s">
        <v>497</v>
      </c>
      <c r="U267" t="s">
        <v>498</v>
      </c>
      <c r="V267">
        <v>20</v>
      </c>
      <c r="W267" t="s">
        <v>499</v>
      </c>
      <c r="X267" t="s">
        <v>521</v>
      </c>
      <c r="Y267" t="s">
        <v>8</v>
      </c>
      <c r="Z267" s="5" t="s">
        <v>1022</v>
      </c>
      <c r="AA267" s="5" t="s">
        <v>1156</v>
      </c>
      <c r="AB267" t="s">
        <v>9</v>
      </c>
      <c r="AC267" s="2">
        <v>45568.630555555559</v>
      </c>
      <c r="AD267" s="2">
        <v>45568.630555555559</v>
      </c>
    </row>
    <row r="268" spans="1:30" x14ac:dyDescent="0.25">
      <c r="A268" t="s">
        <v>519</v>
      </c>
      <c r="B268" t="s">
        <v>1388</v>
      </c>
      <c r="C268" t="s">
        <v>520</v>
      </c>
      <c r="D268" t="s">
        <v>523</v>
      </c>
      <c r="E268" t="s">
        <v>1391</v>
      </c>
      <c r="F268" t="s">
        <v>1390</v>
      </c>
      <c r="I268" s="5" t="s">
        <v>790</v>
      </c>
      <c r="J268" s="1">
        <v>39839</v>
      </c>
      <c r="K268" s="8">
        <v>62375579380</v>
      </c>
      <c r="L268" s="7">
        <v>582569220168</v>
      </c>
      <c r="M268" t="s">
        <v>1</v>
      </c>
      <c r="N268" s="1">
        <v>42423</v>
      </c>
      <c r="O268" t="s">
        <v>2</v>
      </c>
      <c r="Q268" t="s">
        <v>500</v>
      </c>
      <c r="S268" t="s">
        <v>4</v>
      </c>
      <c r="T268" t="s">
        <v>501</v>
      </c>
      <c r="U268" t="s">
        <v>30</v>
      </c>
      <c r="V268">
        <v>3</v>
      </c>
      <c r="W268" t="s">
        <v>300</v>
      </c>
      <c r="X268" t="s">
        <v>521</v>
      </c>
      <c r="Y268" t="s">
        <v>8</v>
      </c>
      <c r="Z268" s="5" t="s">
        <v>1023</v>
      </c>
      <c r="AA268" s="5" t="s">
        <v>1157</v>
      </c>
      <c r="AB268" t="s">
        <v>9</v>
      </c>
      <c r="AC268" s="2">
        <v>45574.699305555558</v>
      </c>
      <c r="AD268" s="2">
        <v>45574.699305555558</v>
      </c>
    </row>
    <row r="269" spans="1:30" x14ac:dyDescent="0.25">
      <c r="A269" t="s">
        <v>519</v>
      </c>
      <c r="B269" t="s">
        <v>1388</v>
      </c>
      <c r="C269" t="s">
        <v>520</v>
      </c>
      <c r="D269" t="s">
        <v>523</v>
      </c>
      <c r="E269" t="s">
        <v>16</v>
      </c>
      <c r="F269" t="s">
        <v>1184</v>
      </c>
      <c r="I269" s="5" t="s">
        <v>791</v>
      </c>
      <c r="J269" s="1">
        <v>40550</v>
      </c>
      <c r="K269" s="8">
        <v>62583396382</v>
      </c>
      <c r="O269" t="s">
        <v>2</v>
      </c>
      <c r="S269" t="s">
        <v>4</v>
      </c>
      <c r="T269" t="s">
        <v>85</v>
      </c>
      <c r="U269" t="s">
        <v>162</v>
      </c>
      <c r="W269" t="s">
        <v>551</v>
      </c>
      <c r="X269" t="s">
        <v>521</v>
      </c>
      <c r="Y269" t="s">
        <v>8</v>
      </c>
      <c r="Z269" s="5" t="s">
        <v>1380</v>
      </c>
      <c r="AA269" s="5" t="s">
        <v>1158</v>
      </c>
      <c r="AB269" t="s">
        <v>9</v>
      </c>
      <c r="AC269" s="2">
        <v>45583.330555555556</v>
      </c>
      <c r="AD269" s="2">
        <v>45583.330555555556</v>
      </c>
    </row>
    <row r="270" spans="1:30" x14ac:dyDescent="0.25">
      <c r="A270" t="s">
        <v>519</v>
      </c>
      <c r="B270" t="s">
        <v>1388</v>
      </c>
      <c r="C270" t="s">
        <v>520</v>
      </c>
      <c r="D270" t="s">
        <v>523</v>
      </c>
      <c r="E270" t="s">
        <v>0</v>
      </c>
      <c r="F270" t="s">
        <v>1184</v>
      </c>
      <c r="I270" s="5" t="s">
        <v>889</v>
      </c>
      <c r="J270" s="1">
        <v>41087</v>
      </c>
      <c r="K270" s="8">
        <v>62432284364</v>
      </c>
      <c r="L270" s="7">
        <v>589675920166</v>
      </c>
      <c r="M270" t="s">
        <v>1</v>
      </c>
      <c r="N270" s="1">
        <v>42509</v>
      </c>
      <c r="O270" t="s">
        <v>11</v>
      </c>
      <c r="Q270" t="s">
        <v>502</v>
      </c>
      <c r="S270" t="s">
        <v>4</v>
      </c>
      <c r="T270" t="s">
        <v>503</v>
      </c>
      <c r="U270" t="s">
        <v>59</v>
      </c>
      <c r="V270">
        <v>19</v>
      </c>
      <c r="W270" t="s">
        <v>37</v>
      </c>
      <c r="X270" t="s">
        <v>521</v>
      </c>
      <c r="Y270" t="s">
        <v>8</v>
      </c>
      <c r="Z270" s="5" t="s">
        <v>1381</v>
      </c>
      <c r="AA270" s="5" t="s">
        <v>1159</v>
      </c>
      <c r="AB270" t="s">
        <v>9</v>
      </c>
      <c r="AC270" s="2">
        <v>45566.615972222222</v>
      </c>
      <c r="AD270" s="2">
        <v>45566.615972222222</v>
      </c>
    </row>
    <row r="271" spans="1:30" x14ac:dyDescent="0.25">
      <c r="A271" t="s">
        <v>519</v>
      </c>
      <c r="B271" t="s">
        <v>1388</v>
      </c>
      <c r="C271" t="s">
        <v>520</v>
      </c>
      <c r="D271" t="s">
        <v>523</v>
      </c>
      <c r="E271" t="s">
        <v>0</v>
      </c>
      <c r="F271" t="s">
        <v>1184</v>
      </c>
      <c r="I271" s="5" t="s">
        <v>792</v>
      </c>
      <c r="J271" s="1">
        <v>41308</v>
      </c>
      <c r="K271" s="8">
        <v>62064054359</v>
      </c>
      <c r="L271" s="7">
        <v>547941120144</v>
      </c>
      <c r="M271" t="s">
        <v>1</v>
      </c>
      <c r="N271" s="1">
        <v>41988</v>
      </c>
      <c r="O271" t="s">
        <v>2</v>
      </c>
      <c r="Q271" t="s">
        <v>504</v>
      </c>
      <c r="S271" t="s">
        <v>4</v>
      </c>
      <c r="T271" t="s">
        <v>505</v>
      </c>
      <c r="U271" t="s">
        <v>6</v>
      </c>
      <c r="V271">
        <v>12</v>
      </c>
      <c r="W271" t="s">
        <v>53</v>
      </c>
      <c r="X271" t="s">
        <v>521</v>
      </c>
      <c r="Y271" t="s">
        <v>8</v>
      </c>
      <c r="Z271" s="5" t="s">
        <v>997</v>
      </c>
      <c r="AA271" s="5" t="s">
        <v>1131</v>
      </c>
      <c r="AB271" t="s">
        <v>9</v>
      </c>
      <c r="AC271" s="2">
        <v>45566.598611111112</v>
      </c>
      <c r="AD271" s="2">
        <v>45566.598611111112</v>
      </c>
    </row>
    <row r="272" spans="1:30" x14ac:dyDescent="0.25">
      <c r="A272" t="s">
        <v>519</v>
      </c>
      <c r="B272" t="s">
        <v>1388</v>
      </c>
      <c r="C272" t="s">
        <v>520</v>
      </c>
      <c r="D272" t="s">
        <v>523</v>
      </c>
      <c r="E272" t="s">
        <v>1391</v>
      </c>
      <c r="F272" t="s">
        <v>1390</v>
      </c>
      <c r="I272" s="5" t="s">
        <v>793</v>
      </c>
      <c r="J272" s="1">
        <v>39678</v>
      </c>
      <c r="K272" s="8">
        <v>62040508341</v>
      </c>
      <c r="L272" s="7">
        <v>546240620140</v>
      </c>
      <c r="M272" t="s">
        <v>1</v>
      </c>
      <c r="N272" s="1">
        <v>45236</v>
      </c>
      <c r="O272" t="s">
        <v>11</v>
      </c>
      <c r="Q272" t="s">
        <v>506</v>
      </c>
      <c r="S272" t="s">
        <v>4</v>
      </c>
      <c r="T272" t="s">
        <v>507</v>
      </c>
      <c r="U272" t="s">
        <v>6</v>
      </c>
      <c r="V272">
        <v>14</v>
      </c>
      <c r="W272" t="s">
        <v>31</v>
      </c>
      <c r="X272" t="s">
        <v>521</v>
      </c>
      <c r="Y272" t="s">
        <v>8</v>
      </c>
      <c r="Z272" s="5" t="s">
        <v>1024</v>
      </c>
      <c r="AA272" s="5" t="s">
        <v>1160</v>
      </c>
      <c r="AB272" t="s">
        <v>9</v>
      </c>
      <c r="AC272" s="2">
        <v>45574.694444444445</v>
      </c>
      <c r="AD272" s="2">
        <v>45574.694444444445</v>
      </c>
    </row>
    <row r="273" spans="1:30" x14ac:dyDescent="0.25">
      <c r="A273" t="s">
        <v>519</v>
      </c>
      <c r="B273" t="s">
        <v>1388</v>
      </c>
      <c r="C273" t="s">
        <v>520</v>
      </c>
      <c r="D273" t="s">
        <v>523</v>
      </c>
      <c r="E273" t="s">
        <v>16</v>
      </c>
      <c r="F273" t="s">
        <v>1184</v>
      </c>
      <c r="I273" s="5" t="s">
        <v>794</v>
      </c>
      <c r="J273" s="1">
        <v>40425</v>
      </c>
      <c r="K273" s="8">
        <v>8705793394</v>
      </c>
      <c r="O273" t="s">
        <v>11</v>
      </c>
      <c r="S273" t="s">
        <v>4</v>
      </c>
      <c r="T273" t="s">
        <v>508</v>
      </c>
      <c r="U273" t="s">
        <v>34</v>
      </c>
      <c r="V273">
        <v>6</v>
      </c>
      <c r="W273" t="s">
        <v>31</v>
      </c>
      <c r="X273" t="s">
        <v>521</v>
      </c>
      <c r="Y273" t="s">
        <v>8</v>
      </c>
      <c r="Z273" s="5" t="s">
        <v>1025</v>
      </c>
      <c r="AA273" s="5" t="s">
        <v>1382</v>
      </c>
      <c r="AB273" t="s">
        <v>9</v>
      </c>
      <c r="AC273" s="2">
        <v>45583.332638888889</v>
      </c>
      <c r="AD273" s="2">
        <v>45583.332638888889</v>
      </c>
    </row>
    <row r="274" spans="1:30" x14ac:dyDescent="0.25">
      <c r="A274" t="s">
        <v>519</v>
      </c>
      <c r="B274" t="s">
        <v>1388</v>
      </c>
      <c r="C274" t="s">
        <v>520</v>
      </c>
      <c r="D274" t="s">
        <v>523</v>
      </c>
      <c r="E274" t="s">
        <v>16</v>
      </c>
      <c r="F274" t="s">
        <v>1184</v>
      </c>
      <c r="I274" s="5" t="s">
        <v>890</v>
      </c>
      <c r="J274" s="1">
        <v>40501</v>
      </c>
      <c r="K274" s="8">
        <v>62598672399</v>
      </c>
      <c r="O274" t="s">
        <v>11</v>
      </c>
      <c r="S274" t="s">
        <v>4</v>
      </c>
      <c r="T274" t="s">
        <v>509</v>
      </c>
      <c r="U274" t="s">
        <v>180</v>
      </c>
      <c r="V274">
        <v>4</v>
      </c>
      <c r="W274" t="s">
        <v>15</v>
      </c>
      <c r="X274" t="s">
        <v>521</v>
      </c>
      <c r="Y274" t="s">
        <v>8</v>
      </c>
      <c r="Z274" s="5" t="s">
        <v>1383</v>
      </c>
      <c r="AA274" s="5" t="s">
        <v>1161</v>
      </c>
      <c r="AB274" t="s">
        <v>9</v>
      </c>
      <c r="AC274" s="2">
        <v>45583.335416666669</v>
      </c>
      <c r="AD274" s="2">
        <v>45583.335416666669</v>
      </c>
    </row>
    <row r="275" spans="1:30" x14ac:dyDescent="0.25">
      <c r="A275" t="s">
        <v>519</v>
      </c>
      <c r="B275" t="s">
        <v>1389</v>
      </c>
      <c r="C275" t="s">
        <v>522</v>
      </c>
      <c r="D275" t="s">
        <v>523</v>
      </c>
      <c r="E275" t="s">
        <v>102</v>
      </c>
      <c r="F275" t="s">
        <v>1184</v>
      </c>
      <c r="I275" s="5" t="s">
        <v>795</v>
      </c>
      <c r="J275" s="1">
        <v>42972</v>
      </c>
      <c r="K275" s="8">
        <v>63549809344</v>
      </c>
      <c r="O275" t="s">
        <v>11</v>
      </c>
      <c r="P275" t="s">
        <v>510</v>
      </c>
      <c r="S275" t="s">
        <v>20</v>
      </c>
      <c r="T275" t="s">
        <v>552</v>
      </c>
      <c r="U275" t="s">
        <v>30</v>
      </c>
      <c r="V275">
        <v>16</v>
      </c>
      <c r="W275" t="s">
        <v>45</v>
      </c>
      <c r="X275" t="s">
        <v>1387</v>
      </c>
      <c r="Y275" t="s">
        <v>8</v>
      </c>
      <c r="Z275" s="5" t="s">
        <v>1384</v>
      </c>
      <c r="AA275" s="5" t="s">
        <v>1162</v>
      </c>
      <c r="AB275" t="s">
        <v>9</v>
      </c>
      <c r="AC275" s="2">
        <v>45567.349305555559</v>
      </c>
      <c r="AD275" s="2">
        <v>45567.4375</v>
      </c>
    </row>
    <row r="276" spans="1:30" x14ac:dyDescent="0.25">
      <c r="A276" t="s">
        <v>519</v>
      </c>
      <c r="B276" t="s">
        <v>1388</v>
      </c>
      <c r="C276" t="s">
        <v>520</v>
      </c>
      <c r="D276" t="s">
        <v>523</v>
      </c>
      <c r="E276" t="s">
        <v>1391</v>
      </c>
      <c r="F276" t="s">
        <v>106</v>
      </c>
      <c r="I276" s="5" t="s">
        <v>891</v>
      </c>
      <c r="J276" s="1">
        <v>40256</v>
      </c>
      <c r="K276" s="8">
        <v>7596234305</v>
      </c>
      <c r="L276" s="7">
        <v>608008320167</v>
      </c>
      <c r="M276" t="s">
        <v>1</v>
      </c>
      <c r="N276" s="1">
        <v>42725</v>
      </c>
      <c r="O276" t="s">
        <v>11</v>
      </c>
      <c r="Q276" t="s">
        <v>511</v>
      </c>
      <c r="S276" t="s">
        <v>20</v>
      </c>
      <c r="T276" t="s">
        <v>512</v>
      </c>
      <c r="U276" t="s">
        <v>30</v>
      </c>
      <c r="V276">
        <v>133</v>
      </c>
      <c r="W276" t="s">
        <v>22</v>
      </c>
      <c r="X276" t="s">
        <v>1387</v>
      </c>
      <c r="Y276" t="s">
        <v>8</v>
      </c>
      <c r="Z276" s="5" t="s">
        <v>1385</v>
      </c>
      <c r="AA276" s="5" t="s">
        <v>1163</v>
      </c>
      <c r="AB276" t="s">
        <v>9</v>
      </c>
      <c r="AC276" s="2">
        <v>45574.574999999997</v>
      </c>
      <c r="AD276" s="2">
        <v>45574.574999999997</v>
      </c>
    </row>
    <row r="277" spans="1:30" x14ac:dyDescent="0.25">
      <c r="A277" t="s">
        <v>519</v>
      </c>
      <c r="B277" t="s">
        <v>1388</v>
      </c>
      <c r="C277" t="s">
        <v>520</v>
      </c>
      <c r="D277" t="s">
        <v>523</v>
      </c>
      <c r="E277" t="s">
        <v>0</v>
      </c>
      <c r="F277" t="s">
        <v>1184</v>
      </c>
      <c r="I277" s="5" t="s">
        <v>892</v>
      </c>
      <c r="J277" s="1">
        <v>41170</v>
      </c>
      <c r="K277" s="8">
        <v>63144223379</v>
      </c>
      <c r="L277" s="7">
        <v>670519120182</v>
      </c>
      <c r="M277" t="s">
        <v>1</v>
      </c>
      <c r="N277" s="1">
        <v>43319</v>
      </c>
      <c r="O277" t="s">
        <v>2</v>
      </c>
      <c r="Q277" t="s">
        <v>513</v>
      </c>
      <c r="S277" t="s">
        <v>4</v>
      </c>
      <c r="T277" t="s">
        <v>514</v>
      </c>
      <c r="U277" t="s">
        <v>6</v>
      </c>
      <c r="V277">
        <v>2</v>
      </c>
      <c r="W277" t="s">
        <v>515</v>
      </c>
      <c r="X277" t="s">
        <v>521</v>
      </c>
      <c r="Y277" t="s">
        <v>8</v>
      </c>
      <c r="Z277" s="5" t="s">
        <v>1386</v>
      </c>
      <c r="AA277" s="5" t="s">
        <v>1164</v>
      </c>
      <c r="AB277" t="s">
        <v>9</v>
      </c>
      <c r="AC277" s="2">
        <v>45566.635416666664</v>
      </c>
      <c r="AD277" s="2">
        <v>45566.635416666664</v>
      </c>
    </row>
    <row r="278" spans="1:30" x14ac:dyDescent="0.25">
      <c r="A278" t="s">
        <v>519</v>
      </c>
      <c r="B278" t="s">
        <v>1389</v>
      </c>
      <c r="C278" t="s">
        <v>522</v>
      </c>
      <c r="D278" t="s">
        <v>523</v>
      </c>
      <c r="E278" t="s">
        <v>18</v>
      </c>
      <c r="F278" t="s">
        <v>1184</v>
      </c>
      <c r="I278" s="5" t="s">
        <v>796</v>
      </c>
      <c r="J278" s="1">
        <v>41785</v>
      </c>
      <c r="K278" s="8">
        <v>63631292309</v>
      </c>
      <c r="O278" t="s">
        <v>2</v>
      </c>
      <c r="Q278" t="s">
        <v>516</v>
      </c>
      <c r="S278" t="s">
        <v>4</v>
      </c>
      <c r="T278" t="s">
        <v>517</v>
      </c>
      <c r="U278" t="s">
        <v>518</v>
      </c>
      <c r="V278">
        <v>9</v>
      </c>
      <c r="W278" t="s">
        <v>31</v>
      </c>
      <c r="X278" t="s">
        <v>521</v>
      </c>
      <c r="Y278" t="s">
        <v>8</v>
      </c>
      <c r="Z278" s="5" t="s">
        <v>1026</v>
      </c>
      <c r="AA278" s="5" t="s">
        <v>1165</v>
      </c>
      <c r="AB278" t="s">
        <v>9</v>
      </c>
      <c r="AC278" s="2">
        <v>45567.488888888889</v>
      </c>
      <c r="AD278" s="2">
        <v>45567.488888888889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31"/>
  <sheetViews>
    <sheetView topLeftCell="I1" workbookViewId="0">
      <selection activeCell="I4" sqref="I4:J280"/>
    </sheetView>
  </sheetViews>
  <sheetFormatPr defaultRowHeight="15" x14ac:dyDescent="0.25"/>
  <sheetData>
    <row r="1" spans="1:32" ht="15.75" thickBot="1" x14ac:dyDescent="0.3">
      <c r="A1" s="3" t="s">
        <v>553</v>
      </c>
      <c r="B1" s="4" t="s">
        <v>554</v>
      </c>
      <c r="C1" s="3" t="s">
        <v>555</v>
      </c>
      <c r="D1" s="4" t="s">
        <v>556</v>
      </c>
      <c r="E1" s="3" t="s">
        <v>557</v>
      </c>
      <c r="F1" s="4" t="s">
        <v>558</v>
      </c>
      <c r="G1" s="3" t="s">
        <v>559</v>
      </c>
      <c r="H1" s="4" t="s">
        <v>560</v>
      </c>
      <c r="I1" s="3" t="s">
        <v>561</v>
      </c>
      <c r="J1" s="4" t="s">
        <v>562</v>
      </c>
      <c r="K1" s="3" t="s">
        <v>563</v>
      </c>
      <c r="L1" s="4" t="s">
        <v>564</v>
      </c>
      <c r="M1" s="3" t="s">
        <v>565</v>
      </c>
      <c r="N1" s="4" t="s">
        <v>566</v>
      </c>
      <c r="O1" s="3" t="s">
        <v>567</v>
      </c>
      <c r="P1" s="4" t="s">
        <v>568</v>
      </c>
      <c r="Q1" s="3" t="s">
        <v>569</v>
      </c>
      <c r="R1" s="4" t="s">
        <v>570</v>
      </c>
      <c r="S1" s="3" t="s">
        <v>571</v>
      </c>
      <c r="T1" s="4" t="s">
        <v>572</v>
      </c>
      <c r="U1" s="3" t="s">
        <v>573</v>
      </c>
      <c r="V1" s="4" t="s">
        <v>574</v>
      </c>
      <c r="W1" s="3" t="s">
        <v>575</v>
      </c>
      <c r="X1" s="4" t="s">
        <v>576</v>
      </c>
      <c r="Y1" s="3" t="s">
        <v>577</v>
      </c>
      <c r="Z1" s="4" t="s">
        <v>578</v>
      </c>
      <c r="AA1" s="3" t="s">
        <v>579</v>
      </c>
      <c r="AB1" s="4" t="s">
        <v>580</v>
      </c>
      <c r="AC1" s="3" t="s">
        <v>581</v>
      </c>
      <c r="AD1" s="4" t="s">
        <v>582</v>
      </c>
      <c r="AE1" s="3" t="s">
        <v>583</v>
      </c>
      <c r="AF1" s="4" t="s">
        <v>584</v>
      </c>
    </row>
    <row r="2" spans="1:32" x14ac:dyDescent="0.25">
      <c r="A2" t="str">
        <f>SUBSTITUTE(A1,":","")</f>
        <v>Instituição de ensino</v>
      </c>
      <c r="B2" t="str">
        <f>SUBSTITUTE(B1,":","")</f>
        <v>Turno</v>
      </c>
      <c r="C2" t="str">
        <f>SUBSTITUTE(C1,":","")</f>
        <v>Curso na Intituição</v>
      </c>
      <c r="D2" t="str">
        <f>SUBSTITUTE(D1,":","")</f>
        <v>Grau</v>
      </c>
      <c r="E2" t="str">
        <f>SUBSTITUTE(E1,":","")</f>
        <v>Ano ou Período</v>
      </c>
      <c r="F2" t="str">
        <f>SUBSTITUTE(F1,":","")</f>
        <v>Turma</v>
      </c>
      <c r="G2" t="str">
        <f>SUBSTITUTE(G1,":","")</f>
        <v>Matrícula</v>
      </c>
      <c r="H2" t="str">
        <f>SUBSTITUTE(H1,":","")</f>
        <v>Cartão</v>
      </c>
      <c r="I2" t="str">
        <f>SUBSTITUTE(I1,":","")</f>
        <v>Nome</v>
      </c>
      <c r="J2" t="str">
        <f>SUBSTITUTE(J1,":","")</f>
        <v>Nascimento</v>
      </c>
      <c r="K2" t="str">
        <f>SUBSTITUTE(K1,":","")</f>
        <v>CPF</v>
      </c>
      <c r="L2" t="str">
        <f>SUBSTITUTE(L1,":","")</f>
        <v>RG</v>
      </c>
      <c r="M2" t="str">
        <f>SUBSTITUTE(M1,":","")</f>
        <v>Expedidor</v>
      </c>
      <c r="N2" t="str">
        <f>SUBSTITUTE(N1,":","")</f>
        <v>Expedição</v>
      </c>
      <c r="O2" t="str">
        <f>SUBSTITUTE(O1,":","")</f>
        <v>Sexo</v>
      </c>
      <c r="P2" t="str">
        <f>SUBSTITUTE(P1,":","")</f>
        <v>Telefone</v>
      </c>
      <c r="Q2" t="str">
        <f>SUBSTITUTE(Q1,":","")</f>
        <v>Celular</v>
      </c>
      <c r="R2" t="str">
        <f>SUBSTITUTE(R1,":","")</f>
        <v>Email</v>
      </c>
      <c r="S2" t="str">
        <f>SUBSTITUTE(S1,":","")</f>
        <v>CEP</v>
      </c>
      <c r="T2" t="str">
        <f>SUBSTITUTE(T1,":","")</f>
        <v>Endereco</v>
      </c>
      <c r="U2" t="str">
        <f>SUBSTITUTE(U1,":","")</f>
        <v>Complemento</v>
      </c>
      <c r="V2" t="str">
        <f>SUBSTITUTE(V1,":","")</f>
        <v>Número</v>
      </c>
      <c r="W2" t="str">
        <f>SUBSTITUTE(W1,":","")</f>
        <v>Bairro</v>
      </c>
      <c r="X2" t="str">
        <f>SUBSTITUTE(X1,":","")</f>
        <v>Cidade</v>
      </c>
      <c r="Y2" t="str">
        <f>SUBSTITUTE(Y1,":","")</f>
        <v>UF</v>
      </c>
      <c r="Z2" t="str">
        <f>SUBSTITUTE(Z1,":","")</f>
        <v>Mãe</v>
      </c>
      <c r="AA2" t="str">
        <f>SUBSTITUTE(AA1,":","")</f>
        <v>Pai</v>
      </c>
      <c r="AB2" t="str">
        <f>SUBSTITUTE(AB1,":","")</f>
        <v>Apto</v>
      </c>
      <c r="AC2" t="str">
        <f>SUBSTITUTE(AC1,":","")</f>
        <v>Cadastrado</v>
      </c>
      <c r="AD2" t="str">
        <f>SUBSTITUTE(AD1,":","")</f>
        <v>Alterdado</v>
      </c>
      <c r="AE2" t="str">
        <f>SUBSTITUTE(AE1,":","")</f>
        <v>Bloqueio</v>
      </c>
      <c r="AF2" t="str">
        <f>SUBSTITUTE(AF1,":","")</f>
        <v>Bloqueado</v>
      </c>
    </row>
    <row r="3" spans="1:32" x14ac:dyDescent="0.25">
      <c r="A3" t="str">
        <f t="shared" ref="A3:H3" si="0">UPPER(A2)</f>
        <v>INSTITUIÇÃO DE ENSINO</v>
      </c>
      <c r="B3" t="str">
        <f t="shared" si="0"/>
        <v>TURNO</v>
      </c>
      <c r="C3" t="str">
        <f t="shared" si="0"/>
        <v>CURSO NA INTITUIÇÃO</v>
      </c>
      <c r="D3" t="str">
        <f t="shared" si="0"/>
        <v>GRAU</v>
      </c>
      <c r="E3" t="str">
        <f t="shared" si="0"/>
        <v>ANO OU PERÍODO</v>
      </c>
      <c r="F3" t="str">
        <f t="shared" si="0"/>
        <v>TURMA</v>
      </c>
      <c r="G3" t="str">
        <f t="shared" si="0"/>
        <v>MATRÍCULA</v>
      </c>
      <c r="H3" t="str">
        <f t="shared" si="0"/>
        <v>CARTÃO</v>
      </c>
      <c r="I3" t="str">
        <f>UPPER(I2)</f>
        <v>NOME</v>
      </c>
      <c r="J3" t="str">
        <f t="shared" ref="J3:AF3" si="1">UPPER(J2)</f>
        <v>NASCIMENTO</v>
      </c>
      <c r="K3" t="str">
        <f t="shared" si="1"/>
        <v>CPF</v>
      </c>
      <c r="L3" t="str">
        <f t="shared" si="1"/>
        <v>RG</v>
      </c>
      <c r="M3" t="str">
        <f t="shared" si="1"/>
        <v>EXPEDIDOR</v>
      </c>
      <c r="N3" t="str">
        <f t="shared" si="1"/>
        <v>EXPEDIÇÃO</v>
      </c>
      <c r="O3" t="str">
        <f t="shared" si="1"/>
        <v>SEXO</v>
      </c>
      <c r="P3" t="str">
        <f t="shared" si="1"/>
        <v>TELEFONE</v>
      </c>
      <c r="Q3" t="str">
        <f t="shared" si="1"/>
        <v>CELULAR</v>
      </c>
      <c r="R3" t="str">
        <f t="shared" si="1"/>
        <v>EMAIL</v>
      </c>
      <c r="S3" t="str">
        <f t="shared" si="1"/>
        <v>CEP</v>
      </c>
      <c r="T3" t="str">
        <f t="shared" si="1"/>
        <v>ENDERECO</v>
      </c>
      <c r="U3" t="str">
        <f t="shared" si="1"/>
        <v>COMPLEMENTO</v>
      </c>
      <c r="V3" t="str">
        <f t="shared" si="1"/>
        <v>NÚMERO</v>
      </c>
      <c r="W3" t="str">
        <f t="shared" si="1"/>
        <v>BAIRRO</v>
      </c>
      <c r="X3" t="str">
        <f t="shared" si="1"/>
        <v>CIDADE</v>
      </c>
      <c r="Y3" t="str">
        <f t="shared" si="1"/>
        <v>UF</v>
      </c>
      <c r="Z3" t="str">
        <f t="shared" si="1"/>
        <v>MÃE</v>
      </c>
      <c r="AA3" t="str">
        <f t="shared" si="1"/>
        <v>PAI</v>
      </c>
      <c r="AB3" t="str">
        <f t="shared" si="1"/>
        <v>APTO</v>
      </c>
      <c r="AC3" t="str">
        <f t="shared" si="1"/>
        <v>CADASTRADO</v>
      </c>
      <c r="AD3" t="str">
        <f t="shared" si="1"/>
        <v>ALTERDADO</v>
      </c>
      <c r="AE3" t="str">
        <f t="shared" si="1"/>
        <v>BLOQUEIO</v>
      </c>
      <c r="AF3" t="str">
        <f t="shared" si="1"/>
        <v>BLOQUEADO</v>
      </c>
    </row>
    <row r="4" spans="1:32" ht="15.75" x14ac:dyDescent="0.25">
      <c r="I4" s="6" t="str">
        <f>SUBSTITUTE(SUBSTITUTE(SUBSTITUTE(SUBSTITUTE(SUBSTITUTE(dados_coletados!Z2, " Da ", " da "), " De ", " de "), " Do ", " do "), " Dos ", " dos "), " Das ", " das ")</f>
        <v>Carliana Lima da Silva</v>
      </c>
      <c r="J4" s="6" t="str">
        <f>SUBSTITUTE(SUBSTITUTE(SUBSTITUTE(SUBSTITUTE(SUBSTITUTE(dados_coletados!AA2, " Da ", " da "), " De ", " de "), " Do ", " do "), " Dos ", " dos "), " Das ", " das ")</f>
        <v>Allan Dias de Castro</v>
      </c>
      <c r="M4" t="s">
        <v>893</v>
      </c>
    </row>
    <row r="5" spans="1:32" ht="15.75" x14ac:dyDescent="0.25">
      <c r="I5" s="6" t="str">
        <f>SUBSTITUTE(SUBSTITUTE(SUBSTITUTE(SUBSTITUTE(SUBSTITUTE(dados_coletados!Z3, " Da ", " da "), " De ", " de "), " Do ", " do "), " Dos ", " dos "), " Das ", " das ")</f>
        <v>Andrea Patricia da Silva Estácio</v>
      </c>
      <c r="J5" s="6" t="str">
        <f>SUBSTITUTE(SUBSTITUTE(SUBSTITUTE(SUBSTITUTE(SUBSTITUTE(dados_coletados!AA3, " Da ", " da "), " De ", " de "), " Do ", " do "), " Dos ", " dos "), " Das ", " das ")</f>
        <v>Franscisco das Chagas Feitosa</v>
      </c>
    </row>
    <row r="6" spans="1:32" ht="15.75" x14ac:dyDescent="0.25">
      <c r="I6" s="6" t="str">
        <f>SUBSTITUTE(SUBSTITUTE(SUBSTITUTE(SUBSTITUTE(SUBSTITUTE(dados_coletados!Z4, " Da ", " da "), " De ", " de "), " Do ", " do "), " Dos ", " dos "), " Das ", " das ")</f>
        <v>Maria Jose do Nascimento Bastos Pinheiro</v>
      </c>
      <c r="J6" s="6" t="str">
        <f>SUBSTITUTE(SUBSTITUTE(SUBSTITUTE(SUBSTITUTE(SUBSTITUTE(dados_coletados!AA4, " Da ", " da "), " De ", " de "), " Do ", " do "), " Dos ", " dos "), " Das ", " das ")</f>
        <v>Eduardo dos Santos Pinheiro</v>
      </c>
    </row>
    <row r="7" spans="1:32" ht="15.75" x14ac:dyDescent="0.25">
      <c r="I7" s="6" t="str">
        <f>SUBSTITUTE(SUBSTITUTE(SUBSTITUTE(SUBSTITUTE(SUBSTITUTE(dados_coletados!Z5, " Da ", " da "), " De ", " de "), " Do ", " do "), " Dos ", " dos "), " Das ", " das ")</f>
        <v>Dayse Silva do Rosário Abreu</v>
      </c>
      <c r="J7" s="6" t="str">
        <f>SUBSTITUTE(SUBSTITUTE(SUBSTITUTE(SUBSTITUTE(SUBSTITUTE(dados_coletados!AA5, " Da ", " da "), " De ", " de "), " Do ", " do "), " Dos ", " dos "), " Das ", " das ")</f>
        <v>Crysthian Gregory Abreu Costa</v>
      </c>
    </row>
    <row r="8" spans="1:32" ht="15.75" x14ac:dyDescent="0.25">
      <c r="I8" s="6" t="str">
        <f>SUBSTITUTE(SUBSTITUTE(SUBSTITUTE(SUBSTITUTE(SUBSTITUTE(dados_coletados!Z6, " Da ", " da "), " De ", " de "), " Do ", " do "), " Dos ", " dos "), " Das ", " das ")</f>
        <v>Rafaela Costa do Nascimento</v>
      </c>
      <c r="J8" s="6" t="str">
        <f>SUBSTITUTE(SUBSTITUTE(SUBSTITUTE(SUBSTITUTE(SUBSTITUTE(dados_coletados!AA6, " Da ", " da "), " De ", " de "), " Do ", " do "), " Dos ", " dos "), " Das ", " das ")</f>
        <v>Adanias Nogueira</v>
      </c>
    </row>
    <row r="9" spans="1:32" ht="15.75" x14ac:dyDescent="0.25">
      <c r="I9" s="6" t="str">
        <f>SUBSTITUTE(SUBSTITUTE(SUBSTITUTE(SUBSTITUTE(SUBSTITUTE(dados_coletados!Z7, " Da ", " da "), " De ", " de "), " Do ", " do "), " Dos ", " dos "), " Das ", " das ")</f>
        <v>Catharina Maria Azevedo Chaves</v>
      </c>
      <c r="J9" s="6" t="str">
        <f>SUBSTITUTE(SUBSTITUTE(SUBSTITUTE(SUBSTITUTE(SUBSTITUTE(dados_coletados!AA7, " Da ", " da "), " De ", " de "), " Do ", " do "), " Dos ", " dos "), " Das ", " das ")</f>
        <v>Marcello Carvalho Bittencourt</v>
      </c>
    </row>
    <row r="10" spans="1:32" ht="15.75" x14ac:dyDescent="0.25">
      <c r="I10" s="6" t="str">
        <f>SUBSTITUTE(SUBSTITUTE(SUBSTITUTE(SUBSTITUTE(SUBSTITUTE(dados_coletados!Z8, " Da ", " da "), " De ", " de "), " Do ", " do "), " Dos ", " dos "), " Das ", " das ")</f>
        <v>Lindalva Silva Ferreira</v>
      </c>
      <c r="J10" s="6" t="str">
        <f>SUBSTITUTE(SUBSTITUTE(SUBSTITUTE(SUBSTITUTE(SUBSTITUTE(dados_coletados!AA8, " Da ", " da "), " De ", " de "), " Do ", " do "), " Dos ", " dos "), " Das ", " das ")</f>
        <v>Roberto Correia Alves</v>
      </c>
    </row>
    <row r="11" spans="1:32" ht="15.75" x14ac:dyDescent="0.25">
      <c r="I11" s="6" t="str">
        <f>SUBSTITUTE(SUBSTITUTE(SUBSTITUTE(SUBSTITUTE(SUBSTITUTE(dados_coletados!Z9, " Da ", " da "), " De ", " de "), " Do ", " do "), " Dos ", " dos "), " Das ", " das ")</f>
        <v>Anny Karolynny de Sousa Machado</v>
      </c>
      <c r="J11" s="6" t="str">
        <f>SUBSTITUTE(SUBSTITUTE(SUBSTITUTE(SUBSTITUTE(SUBSTITUTE(dados_coletados!AA9, " Da ", " da "), " De ", " de "), " Do ", " do "), " Dos ", " dos "), " Das ", " das ")</f>
        <v/>
      </c>
    </row>
    <row r="12" spans="1:32" ht="15.75" x14ac:dyDescent="0.25">
      <c r="I12" s="6" t="str">
        <f>SUBSTITUTE(SUBSTITUTE(SUBSTITUTE(SUBSTITUTE(SUBSTITUTE(dados_coletados!Z10, " Da ", " da "), " De ", " de "), " Do ", " do "), " Dos ", " dos "), " Das ", " das ")</f>
        <v>Aline Figueiredo de Sousa Correa</v>
      </c>
      <c r="J12" s="6" t="str">
        <f>SUBSTITUTE(SUBSTITUTE(SUBSTITUTE(SUBSTITUTE(SUBSTITUTE(dados_coletados!AA10, " Da ", " da "), " De ", " de "), " Do ", " do "), " Dos ", " dos "), " Das ", " das ")</f>
        <v>Andre Luis de Jesus Correa</v>
      </c>
    </row>
    <row r="13" spans="1:32" ht="15.75" x14ac:dyDescent="0.25">
      <c r="I13" s="6" t="str">
        <f>SUBSTITUTE(SUBSTITUTE(SUBSTITUTE(SUBSTITUTE(SUBSTITUTE(dados_coletados!Z11, " Da ", " da "), " De ", " de "), " Do ", " do "), " Dos ", " dos "), " Das ", " das ")</f>
        <v>Lilia Raquel Matos Guimaraes</v>
      </c>
      <c r="J13" s="6" t="str">
        <f>SUBSTITUTE(SUBSTITUTE(SUBSTITUTE(SUBSTITUTE(SUBSTITUTE(dados_coletados!AA11, " Da ", " da "), " De ", " de "), " Do ", " do "), " Dos ", " dos "), " Das ", " das ")</f>
        <v>Uiron Marcos Everton da Silva</v>
      </c>
    </row>
    <row r="14" spans="1:32" ht="15.75" x14ac:dyDescent="0.25">
      <c r="I14" s="6" t="str">
        <f>SUBSTITUTE(SUBSTITUTE(SUBSTITUTE(SUBSTITUTE(SUBSTITUTE(dados_coletados!Z12, " Da ", " da "), " De ", " de "), " Do ", " do "), " Dos ", " dos "), " Das ", " das ")</f>
        <v>Carmen Celia Ferreira de Sousa</v>
      </c>
      <c r="J14" s="6" t="str">
        <f>SUBSTITUTE(SUBSTITUTE(SUBSTITUTE(SUBSTITUTE(SUBSTITUTE(dados_coletados!AA12, " Da ", " da "), " De ", " de "), " Do ", " do "), " Dos ", " dos "), " Das ", " das ")</f>
        <v>Irandir Araujo Nunes</v>
      </c>
    </row>
    <row r="15" spans="1:32" ht="15.75" x14ac:dyDescent="0.25">
      <c r="I15" s="6" t="str">
        <f>SUBSTITUTE(SUBSTITUTE(SUBSTITUTE(SUBSTITUTE(SUBSTITUTE(dados_coletados!Z13, " Da ", " da "), " De ", " de "), " Do ", " do "), " Dos ", " dos "), " Das ", " das ")</f>
        <v>Rayanne Elaine Garcez da Silva</v>
      </c>
      <c r="J15" s="6" t="str">
        <f>SUBSTITUTE(SUBSTITUTE(SUBSTITUTE(SUBSTITUTE(SUBSTITUTE(dados_coletados!AA13, " Da ", " da "), " De ", " de "), " Do ", " do "), " Dos ", " dos "), " Das ", " das ")</f>
        <v>Emanuel Monteiro de Lima</v>
      </c>
    </row>
    <row r="16" spans="1:32" ht="15.75" x14ac:dyDescent="0.25">
      <c r="I16" s="6" t="str">
        <f>SUBSTITUTE(SUBSTITUTE(SUBSTITUTE(SUBSTITUTE(SUBSTITUTE(dados_coletados!Z14, " Da ", " da "), " De ", " de "), " Do ", " do "), " Dos ", " dos "), " Das ", " das ")</f>
        <v>Keila Nunes Veloso</v>
      </c>
      <c r="J16" s="6" t="str">
        <f>SUBSTITUTE(SUBSTITUTE(SUBSTITUTE(SUBSTITUTE(SUBSTITUTE(dados_coletados!AA14, " Da ", " da "), " De ", " de "), " Do ", " do "), " Dos ", " dos "), " Das ", " das ")</f>
        <v>Hugo Deleon Lima de Brito</v>
      </c>
    </row>
    <row r="17" spans="9:10" ht="15.75" x14ac:dyDescent="0.25">
      <c r="I17" s="6" t="str">
        <f>SUBSTITUTE(SUBSTITUTE(SUBSTITUTE(SUBSTITUTE(SUBSTITUTE(dados_coletados!Z15, " Da ", " da "), " De ", " de "), " Do ", " do "), " Dos ", " dos "), " Das ", " das ")</f>
        <v>Valdilene Silva Martins</v>
      </c>
      <c r="J17" s="6" t="str">
        <f>SUBSTITUTE(SUBSTITUTE(SUBSTITUTE(SUBSTITUTE(SUBSTITUTE(dados_coletados!AA15, " Da ", " da "), " De ", " de "), " Do ", " do "), " Dos ", " dos "), " Das ", " das ")</f>
        <v>Harrison Rodrigues Martins</v>
      </c>
    </row>
    <row r="18" spans="9:10" ht="15.75" x14ac:dyDescent="0.25">
      <c r="I18" s="6" t="str">
        <f>SUBSTITUTE(SUBSTITUTE(SUBSTITUTE(SUBSTITUTE(SUBSTITUTE(dados_coletados!Z16, " Da ", " da "), " De ", " de "), " Do ", " do "), " Dos ", " dos "), " Das ", " das ")</f>
        <v>Tabda Campos de Sousa</v>
      </c>
      <c r="J18" s="6" t="str">
        <f>SUBSTITUTE(SUBSTITUTE(SUBSTITUTE(SUBSTITUTE(SUBSTITUTE(dados_coletados!AA16, " Da ", " da "), " De ", " de "), " Do ", " do "), " Dos ", " dos "), " Das ", " das ")</f>
        <v>Eudes de Sousa Viana</v>
      </c>
    </row>
    <row r="19" spans="9:10" ht="15.75" x14ac:dyDescent="0.25">
      <c r="I19" s="6" t="str">
        <f>SUBSTITUTE(SUBSTITUTE(SUBSTITUTE(SUBSTITUTE(SUBSTITUTE(dados_coletados!Z17, " Da ", " da "), " De ", " de "), " Do ", " do "), " Dos ", " dos "), " Das ", " das ")</f>
        <v>Cleonice de Jesus Mendes Costa</v>
      </c>
      <c r="J19" s="6" t="str">
        <f>SUBSTITUTE(SUBSTITUTE(SUBSTITUTE(SUBSTITUTE(SUBSTITUTE(dados_coletados!AA17, " Da ", " da "), " De ", " de "), " Do ", " do "), " Dos ", " dos "), " Das ", " das ")</f>
        <v>Josivaldo Gomes Costa</v>
      </c>
    </row>
    <row r="20" spans="9:10" ht="15.75" x14ac:dyDescent="0.25">
      <c r="I20" s="6" t="str">
        <f>SUBSTITUTE(SUBSTITUTE(SUBSTITUTE(SUBSTITUTE(SUBSTITUTE(dados_coletados!Z18, " Da ", " da "), " De ", " de "), " Do ", " do "), " Dos ", " dos "), " Das ", " das ")</f>
        <v>Maria Tereza Silva Ferreira Castro</v>
      </c>
      <c r="J20" s="6" t="str">
        <f>SUBSTITUTE(SUBSTITUTE(SUBSTITUTE(SUBSTITUTE(SUBSTITUTE(dados_coletados!AA18, " Da ", " da "), " De ", " de "), " Do ", " do "), " Dos ", " dos "), " Das ", " das ")</f>
        <v>Manoel Pereira Castro Neto</v>
      </c>
    </row>
    <row r="21" spans="9:10" ht="15.75" x14ac:dyDescent="0.25">
      <c r="I21" s="6" t="str">
        <f>SUBSTITUTE(SUBSTITUTE(SUBSTITUTE(SUBSTITUTE(SUBSTITUTE(dados_coletados!Z19, " Da ", " da "), " De ", " de "), " Do ", " do "), " Dos ", " dos "), " Das ", " das ")</f>
        <v>Adriana de Fatima Ferreira de Oliveira</v>
      </c>
      <c r="J21" s="6" t="str">
        <f>SUBSTITUTE(SUBSTITUTE(SUBSTITUTE(SUBSTITUTE(SUBSTITUTE(dados_coletados!AA19, " Da ", " da "), " De ", " de "), " Do ", " do "), " Dos ", " dos "), " Das ", " das ")</f>
        <v>Jamilson Menezes Freitas</v>
      </c>
    </row>
    <row r="22" spans="9:10" ht="15.75" x14ac:dyDescent="0.25">
      <c r="I22" s="6" t="str">
        <f>SUBSTITUTE(SUBSTITUTE(SUBSTITUTE(SUBSTITUTE(SUBSTITUTE(dados_coletados!Z20, " Da ", " da "), " De ", " de "), " Do ", " do "), " Dos ", " dos "), " Das ", " das ")</f>
        <v>Ana Patrícia Rodrigues Araújo</v>
      </c>
      <c r="J22" s="6" t="str">
        <f>SUBSTITUTE(SUBSTITUTE(SUBSTITUTE(SUBSTITUTE(SUBSTITUTE(dados_coletados!AA20, " Da ", " da "), " De ", " de "), " Do ", " do "), " Dos ", " dos "), " Das ", " das ")</f>
        <v>Julio Morais de Araujo</v>
      </c>
    </row>
    <row r="23" spans="9:10" ht="15.75" x14ac:dyDescent="0.25">
      <c r="I23" s="6" t="str">
        <f>SUBSTITUTE(SUBSTITUTE(SUBSTITUTE(SUBSTITUTE(SUBSTITUTE(dados_coletados!Z21, " Da ", " da "), " De ", " de "), " Do ", " do "), " Dos ", " dos "), " Das ", " das ")</f>
        <v>Edvania Feitosa Maciel</v>
      </c>
      <c r="J23" s="6" t="str">
        <f>SUBSTITUTE(SUBSTITUTE(SUBSTITUTE(SUBSTITUTE(SUBSTITUTE(dados_coletados!AA21, " Da ", " da "), " De ", " de "), " Do ", " do "), " Dos ", " dos "), " Das ", " das ")</f>
        <v>Joao da Cruz Martins dos Reis</v>
      </c>
    </row>
    <row r="24" spans="9:10" ht="15.75" x14ac:dyDescent="0.25">
      <c r="I24" s="6" t="str">
        <f>SUBSTITUTE(SUBSTITUTE(SUBSTITUTE(SUBSTITUTE(SUBSTITUTE(dados_coletados!Z22, " Da ", " da "), " De ", " de "), " Do ", " do "), " Dos ", " dos "), " Das ", " das ")</f>
        <v>Maria Tereza Silva Ferreira Castro</v>
      </c>
      <c r="J24" s="6" t="str">
        <f>SUBSTITUTE(SUBSTITUTE(SUBSTITUTE(SUBSTITUTE(SUBSTITUTE(dados_coletados!AA22, " Da ", " da "), " De ", " de "), " Do ", " do "), " Dos ", " dos "), " Das ", " das ")</f>
        <v>Manoel Pereira Castro Neto</v>
      </c>
    </row>
    <row r="25" spans="9:10" ht="15.75" x14ac:dyDescent="0.25">
      <c r="I25" s="6" t="str">
        <f>SUBSTITUTE(SUBSTITUTE(SUBSTITUTE(SUBSTITUTE(SUBSTITUTE(dados_coletados!Z23, " Da ", " da "), " De ", " de "), " Do ", " do "), " Dos ", " dos "), " Das ", " das ")</f>
        <v>Jozilene Medeiros Diniz</v>
      </c>
      <c r="J25" s="6" t="str">
        <f>SUBSTITUTE(SUBSTITUTE(SUBSTITUTE(SUBSTITUTE(SUBSTITUTE(dados_coletados!AA23, " Da ", " da "), " De ", " de "), " Do ", " do "), " Dos ", " dos "), " Das ", " das ")</f>
        <v>Paulo Roberto Araujo Silva</v>
      </c>
    </row>
    <row r="26" spans="9:10" ht="15.75" x14ac:dyDescent="0.25">
      <c r="I26" s="6" t="str">
        <f>SUBSTITUTE(SUBSTITUTE(SUBSTITUTE(SUBSTITUTE(SUBSTITUTE(dados_coletados!Z24, " Da ", " da "), " De ", " de "), " Do ", " do "), " Dos ", " dos "), " Das ", " das ")</f>
        <v>Eronilde da Silva Correia</v>
      </c>
      <c r="J26" s="6" t="str">
        <f>SUBSTITUTE(SUBSTITUTE(SUBSTITUTE(SUBSTITUTE(SUBSTITUTE(dados_coletados!AA24, " Da ", " da "), " De ", " de "), " Do ", " do "), " Dos ", " dos "), " Das ", " das ")</f>
        <v>Luis Carlos Lima dos Santos</v>
      </c>
    </row>
    <row r="27" spans="9:10" ht="15.75" x14ac:dyDescent="0.25">
      <c r="I27" s="6" t="str">
        <f>SUBSTITUTE(SUBSTITUTE(SUBSTITUTE(SUBSTITUTE(SUBSTITUTE(dados_coletados!Z25, " Da ", " da "), " De ", " de "), " Do ", " do "), " Dos ", " dos "), " Das ", " das ")</f>
        <v>Wenna Lopes Silva</v>
      </c>
      <c r="J27" s="6" t="str">
        <f>SUBSTITUTE(SUBSTITUTE(SUBSTITUTE(SUBSTITUTE(SUBSTITUTE(dados_coletados!AA25, " Da ", " da "), " De ", " de "), " Do ", " do "), " Dos ", " dos "), " Das ", " das ")</f>
        <v>Tiago Moraes Lima dos Santos</v>
      </c>
    </row>
    <row r="28" spans="9:10" ht="15.75" x14ac:dyDescent="0.25">
      <c r="I28" s="6" t="str">
        <f>SUBSTITUTE(SUBSTITUTE(SUBSTITUTE(SUBSTITUTE(SUBSTITUTE(dados_coletados!Z26, " Da ", " da "), " De ", " de "), " Do ", " do "), " Dos ", " dos "), " Das ", " das ")</f>
        <v>Karliany Brito Marques</v>
      </c>
      <c r="J28" s="6" t="str">
        <f>SUBSTITUTE(SUBSTITUTE(SUBSTITUTE(SUBSTITUTE(SUBSTITUTE(dados_coletados!AA26, " Da ", " da "), " De ", " de "), " Do ", " do "), " Dos ", " dos "), " Das ", " das ")</f>
        <v>André Martins Marques</v>
      </c>
    </row>
    <row r="29" spans="9:10" ht="15.75" x14ac:dyDescent="0.25">
      <c r="I29" s="6" t="str">
        <f>SUBSTITUTE(SUBSTITUTE(SUBSTITUTE(SUBSTITUTE(SUBSTITUTE(dados_coletados!Z27, " Da ", " da "), " De ", " de "), " Do ", " do "), " Dos ", " dos "), " Das ", " das ")</f>
        <v>Alterlene Oliveira da Silva</v>
      </c>
      <c r="J29" s="6" t="str">
        <f>SUBSTITUTE(SUBSTITUTE(SUBSTITUTE(SUBSTITUTE(SUBSTITUTE(dados_coletados!AA27, " Da ", " da "), " De ", " de "), " Do ", " do "), " Dos ", " dos "), " Das ", " das ")</f>
        <v>Thales Santos Frazão</v>
      </c>
    </row>
    <row r="30" spans="9:10" ht="15.75" x14ac:dyDescent="0.25">
      <c r="I30" s="6" t="str">
        <f>SUBSTITUTE(SUBSTITUTE(SUBSTITUTE(SUBSTITUTE(SUBSTITUTE(dados_coletados!Z28, " Da ", " da "), " De ", " de "), " Do ", " do "), " Dos ", " dos "), " Das ", " das ")</f>
        <v>Rosilene do Espírito Santo Bezerra</v>
      </c>
      <c r="J30" s="6" t="str">
        <f>SUBSTITUTE(SUBSTITUTE(SUBSTITUTE(SUBSTITUTE(SUBSTITUTE(dados_coletados!AA28, " Da ", " da "), " De ", " de "), " Do ", " do "), " Dos ", " dos "), " Das ", " das ")</f>
        <v>Josué Alves Bezerra Junior</v>
      </c>
    </row>
    <row r="31" spans="9:10" ht="15.75" x14ac:dyDescent="0.25">
      <c r="I31" s="6" t="str">
        <f>SUBSTITUTE(SUBSTITUTE(SUBSTITUTE(SUBSTITUTE(SUBSTITUTE(dados_coletados!Z29, " Da ", " da "), " De ", " de "), " Do ", " do "), " Dos ", " dos "), " Das ", " das ")</f>
        <v>Geisa Aline Lisboa Santos Amado</v>
      </c>
      <c r="J31" s="6" t="str">
        <f>SUBSTITUTE(SUBSTITUTE(SUBSTITUTE(SUBSTITUTE(SUBSTITUTE(dados_coletados!AA29, " Da ", " da "), " De ", " de "), " Do ", " do "), " Dos ", " dos "), " Das ", " das ")</f>
        <v>Raimundo José Ferreira Amado</v>
      </c>
    </row>
    <row r="32" spans="9:10" ht="15.75" x14ac:dyDescent="0.25">
      <c r="I32" s="6" t="str">
        <f>SUBSTITUTE(SUBSTITUTE(SUBSTITUTE(SUBSTITUTE(SUBSTITUTE(dados_coletados!Z30, " Da ", " da "), " De ", " de "), " Do ", " do "), " Dos ", " dos "), " Das ", " das ")</f>
        <v>Darlen Thalya de Sousa Nascimento</v>
      </c>
      <c r="J32" s="6" t="str">
        <f>SUBSTITUTE(SUBSTITUTE(SUBSTITUTE(SUBSTITUTE(SUBSTITUTE(dados_coletados!AA30, " Da ", " da "), " De ", " de "), " Do ", " do "), " Dos ", " dos "), " Das ", " das ")</f>
        <v>Eliedson Barbosa Castro</v>
      </c>
    </row>
    <row r="33" spans="9:10" ht="15.75" x14ac:dyDescent="0.25">
      <c r="I33" s="6" t="str">
        <f>SUBSTITUTE(SUBSTITUTE(SUBSTITUTE(SUBSTITUTE(SUBSTITUTE(dados_coletados!Z31, " Da ", " da "), " De ", " de "), " Do ", " do "), " Dos ", " dos "), " Das ", " das ")</f>
        <v>Ada Rubia Nunes Martins</v>
      </c>
      <c r="J33" s="6" t="str">
        <f>SUBSTITUTE(SUBSTITUTE(SUBSTITUTE(SUBSTITUTE(SUBSTITUTE(dados_coletados!AA31, " Da ", " da "), " De ", " de "), " Do ", " do "), " Dos ", " dos "), " Das ", " das ")</f>
        <v>Antonio Vitorio Lopes</v>
      </c>
    </row>
    <row r="34" spans="9:10" ht="15.75" x14ac:dyDescent="0.25">
      <c r="I34" s="6" t="str">
        <f>SUBSTITUTE(SUBSTITUTE(SUBSTITUTE(SUBSTITUTE(SUBSTITUTE(dados_coletados!Z32, " Da ", " da "), " De ", " de "), " Do ", " do "), " Dos ", " dos "), " Das ", " das ")</f>
        <v>Jhessica Hellen Gonçalves Silva</v>
      </c>
      <c r="J34" s="6" t="str">
        <f>SUBSTITUTE(SUBSTITUTE(SUBSTITUTE(SUBSTITUTE(SUBSTITUTE(dados_coletados!AA32, " Da ", " da "), " De ", " de "), " Do ", " do "), " Dos ", " dos "), " Das ", " das ")</f>
        <v>Dyeisson Neves Ferreira</v>
      </c>
    </row>
    <row r="35" spans="9:10" ht="15.75" x14ac:dyDescent="0.25">
      <c r="I35" s="6" t="str">
        <f>SUBSTITUTE(SUBSTITUTE(SUBSTITUTE(SUBSTITUTE(SUBSTITUTE(dados_coletados!Z33, " Da ", " da "), " De ", " de "), " Do ", " do "), " Dos ", " dos "), " Das ", " das ")</f>
        <v>Celyjane Maruska Santos Sousa</v>
      </c>
      <c r="J35" s="6" t="str">
        <f>SUBSTITUTE(SUBSTITUTE(SUBSTITUTE(SUBSTITUTE(SUBSTITUTE(dados_coletados!AA33, " Da ", " da "), " De ", " de "), " Do ", " do "), " Dos ", " dos "), " Das ", " das ")</f>
        <v>Jefferson Silberth Silva Carvalho</v>
      </c>
    </row>
    <row r="36" spans="9:10" ht="15.75" x14ac:dyDescent="0.25">
      <c r="I36" s="6" t="str">
        <f>SUBSTITUTE(SUBSTITUTE(SUBSTITUTE(SUBSTITUTE(SUBSTITUTE(dados_coletados!Z34, " Da ", " da "), " De ", " de "), " Do ", " do "), " Dos ", " dos "), " Das ", " das ")</f>
        <v>Samira Kerli Costa Vieira</v>
      </c>
      <c r="J36" s="6" t="str">
        <f>SUBSTITUTE(SUBSTITUTE(SUBSTITUTE(SUBSTITUTE(SUBSTITUTE(dados_coletados!AA34, " Da ", " da "), " De ", " de "), " Do ", " do "), " Dos ", " dos "), " Das ", " das ")</f>
        <v>Norberto Silva Borges Junior</v>
      </c>
    </row>
    <row r="37" spans="9:10" ht="15.75" x14ac:dyDescent="0.25">
      <c r="I37" s="6" t="str">
        <f>SUBSTITUTE(SUBSTITUTE(SUBSTITUTE(SUBSTITUTE(SUBSTITUTE(dados_coletados!Z35, " Da ", " da "), " De ", " de "), " Do ", " do "), " Dos ", " dos "), " Das ", " das ")</f>
        <v>Maria Leonice Gomes Sousa</v>
      </c>
      <c r="J37" s="6" t="str">
        <f>SUBSTITUTE(SUBSTITUTE(SUBSTITUTE(SUBSTITUTE(SUBSTITUTE(dados_coletados!AA35, " Da ", " da "), " De ", " de "), " Do ", " do "), " Dos ", " dos "), " Das ", " das ")</f>
        <v>Romilson Melo Muniz</v>
      </c>
    </row>
    <row r="38" spans="9:10" ht="15.75" x14ac:dyDescent="0.25">
      <c r="I38" s="6" t="str">
        <f>SUBSTITUTE(SUBSTITUTE(SUBSTITUTE(SUBSTITUTE(SUBSTITUTE(dados_coletados!Z36, " Da ", " da "), " De ", " de "), " Do ", " do "), " Dos ", " dos "), " Das ", " das ")</f>
        <v>Rubnelma Melonio Lima</v>
      </c>
      <c r="J38" s="6" t="str">
        <f>SUBSTITUTE(SUBSTITUTE(SUBSTITUTE(SUBSTITUTE(SUBSTITUTE(dados_coletados!AA36, " Da ", " da "), " De ", " de "), " Do ", " do "), " Dos ", " dos "), " Das ", " das ")</f>
        <v>Augusto Conte Silva Correa</v>
      </c>
    </row>
    <row r="39" spans="9:10" ht="15.75" x14ac:dyDescent="0.25">
      <c r="I39" s="6" t="str">
        <f>SUBSTITUTE(SUBSTITUTE(SUBSTITUTE(SUBSTITUTE(SUBSTITUTE(dados_coletados!Z37, " Da ", " da "), " De ", " de "), " Do ", " do "), " Dos ", " dos "), " Das ", " das ")</f>
        <v>Leuriane Lisboa de Sousa</v>
      </c>
      <c r="J39" s="6" t="str">
        <f>SUBSTITUTE(SUBSTITUTE(SUBSTITUTE(SUBSTITUTE(SUBSTITUTE(dados_coletados!AA37, " Da ", " da "), " De ", " de "), " Do ", " do "), " Dos ", " dos "), " Das ", " das ")</f>
        <v>Deywison Silva do Rosario</v>
      </c>
    </row>
    <row r="40" spans="9:10" ht="15.75" x14ac:dyDescent="0.25">
      <c r="I40" s="6" t="str">
        <f>SUBSTITUTE(SUBSTITUTE(SUBSTITUTE(SUBSTITUTE(SUBSTITUTE(dados_coletados!Z38, " Da ", " da "), " De ", " de "), " Do ", " do "), " Dos ", " dos "), " Das ", " das ")</f>
        <v>Jocely Santos Sousa da Silva</v>
      </c>
      <c r="J40" s="6" t="str">
        <f>SUBSTITUTE(SUBSTITUTE(SUBSTITUTE(SUBSTITUTE(SUBSTITUTE(dados_coletados!AA38, " Da ", " da "), " De ", " de "), " Do ", " do "), " Dos ", " dos "), " Das ", " das ")</f>
        <v>Leandro Moreno da Silva</v>
      </c>
    </row>
    <row r="41" spans="9:10" ht="15.75" x14ac:dyDescent="0.25">
      <c r="I41" s="6" t="str">
        <f>SUBSTITUTE(SUBSTITUTE(SUBSTITUTE(SUBSTITUTE(SUBSTITUTE(dados_coletados!Z39, " Da ", " da "), " De ", " de "), " Do ", " do "), " Dos ", " dos "), " Das ", " das ")</f>
        <v>Ozilene Silva de Jesus Martins</v>
      </c>
      <c r="J41" s="6" t="str">
        <f>SUBSTITUTE(SUBSTITUTE(SUBSTITUTE(SUBSTITUTE(SUBSTITUTE(dados_coletados!AA39, " Da ", " da "), " De ", " de "), " Do ", " do "), " Dos ", " dos "), " Das ", " das ")</f>
        <v>Ludernaik Oliveira Martins</v>
      </c>
    </row>
    <row r="42" spans="9:10" ht="15.75" x14ac:dyDescent="0.25">
      <c r="I42" s="6" t="str">
        <f>SUBSTITUTE(SUBSTITUTE(SUBSTITUTE(SUBSTITUTE(SUBSTITUTE(dados_coletados!Z40, " Da ", " da "), " De ", " de "), " Do ", " do "), " Dos ", " dos "), " Das ", " das ")</f>
        <v>Raimunda D`Jesus Freitas Gonçalves</v>
      </c>
      <c r="J42" s="6" t="str">
        <f>SUBSTITUTE(SUBSTITUTE(SUBSTITUTE(SUBSTITUTE(SUBSTITUTE(dados_coletados!AA40, " Da ", " da "), " De ", " de "), " Do ", " do "), " Dos ", " dos "), " Das ", " das ")</f>
        <v>Eduardo Bruno Brito Alves</v>
      </c>
    </row>
    <row r="43" spans="9:10" ht="15.75" x14ac:dyDescent="0.25">
      <c r="I43" s="6" t="str">
        <f>SUBSTITUTE(SUBSTITUTE(SUBSTITUTE(SUBSTITUTE(SUBSTITUTE(dados_coletados!Z41, " Da ", " da "), " De ", " de "), " Do ", " do "), " Dos ", " dos "), " Das ", " das ")</f>
        <v>Ketllin Haquel Monteiro Mendes</v>
      </c>
      <c r="J43" s="6" t="str">
        <f>SUBSTITUTE(SUBSTITUTE(SUBSTITUTE(SUBSTITUTE(SUBSTITUTE(dados_coletados!AA41, " Da ", " da "), " De ", " de "), " Do ", " do "), " Dos ", " dos "), " Das ", " das ")</f>
        <v>Carlos Eduardo dos Santos Ferreira</v>
      </c>
    </row>
    <row r="44" spans="9:10" ht="15.75" x14ac:dyDescent="0.25">
      <c r="I44" s="6" t="str">
        <f>SUBSTITUTE(SUBSTITUTE(SUBSTITUTE(SUBSTITUTE(SUBSTITUTE(dados_coletados!Z42, " Da ", " da "), " De ", " de "), " Do ", " do "), " Dos ", " dos "), " Das ", " das ")</f>
        <v>Samyra Raquel Gomes Miranda</v>
      </c>
      <c r="J44" s="6" t="str">
        <f>SUBSTITUTE(SUBSTITUTE(SUBSTITUTE(SUBSTITUTE(SUBSTITUTE(dados_coletados!AA42, " Da ", " da "), " De ", " de "), " Do ", " do "), " Dos ", " dos "), " Das ", " das ")</f>
        <v>Jefferson Bruno Barros Reis</v>
      </c>
    </row>
    <row r="45" spans="9:10" ht="15.75" x14ac:dyDescent="0.25">
      <c r="I45" s="6" t="str">
        <f>SUBSTITUTE(SUBSTITUTE(SUBSTITUTE(SUBSTITUTE(SUBSTITUTE(dados_coletados!Z43, " Da ", " da "), " De ", " de "), " Do ", " do "), " Dos ", " dos "), " Das ", " das ")</f>
        <v>Euza Maria Sousa da Conceição</v>
      </c>
      <c r="J45" s="6" t="str">
        <f>SUBSTITUTE(SUBSTITUTE(SUBSTITUTE(SUBSTITUTE(SUBSTITUTE(dados_coletados!AA43, " Da ", " da "), " De ", " de "), " Do ", " do "), " Dos ", " dos "), " Das ", " das ")</f>
        <v>Flavio Machado Rosa</v>
      </c>
    </row>
    <row r="46" spans="9:10" ht="15.75" x14ac:dyDescent="0.25">
      <c r="I46" s="6" t="str">
        <f>SUBSTITUTE(SUBSTITUTE(SUBSTITUTE(SUBSTITUTE(SUBSTITUTE(dados_coletados!Z44, " Da ", " da "), " De ", " de "), " Do ", " do "), " Dos ", " dos "), " Das ", " das ")</f>
        <v>Karliany Brito Marques</v>
      </c>
      <c r="J46" s="6" t="str">
        <f>SUBSTITUTE(SUBSTITUTE(SUBSTITUTE(SUBSTITUTE(SUBSTITUTE(dados_coletados!AA44, " Da ", " da "), " De ", " de "), " Do ", " do "), " Dos ", " dos "), " Das ", " das ")</f>
        <v>André Martins Marques</v>
      </c>
    </row>
    <row r="47" spans="9:10" ht="15.75" x14ac:dyDescent="0.25">
      <c r="I47" s="6" t="str">
        <f>SUBSTITUTE(SUBSTITUTE(SUBSTITUTE(SUBSTITUTE(SUBSTITUTE(dados_coletados!Z45, " Da ", " da "), " De ", " de "), " Do ", " do "), " Dos ", " dos "), " Das ", " das ")</f>
        <v>Yaskara Sousa Silva</v>
      </c>
      <c r="J47" s="6" t="str">
        <f>SUBSTITUTE(SUBSTITUTE(SUBSTITUTE(SUBSTITUTE(SUBSTITUTE(dados_coletados!AA45, " Da ", " da "), " De ", " de "), " Do ", " do "), " Dos ", " dos "), " Das ", " das ")</f>
        <v>Jose Ribamar Rodrigues da Silva Junior</v>
      </c>
    </row>
    <row r="48" spans="9:10" ht="15.75" x14ac:dyDescent="0.25">
      <c r="I48" s="6" t="str">
        <f>SUBSTITUTE(SUBSTITUTE(SUBSTITUTE(SUBSTITUTE(SUBSTITUTE(dados_coletados!Z46, " Da ", " da "), " De ", " de "), " Do ", " do "), " Dos ", " dos "), " Das ", " das ")</f>
        <v>Jaina Dutra Ataide</v>
      </c>
      <c r="J48" s="6" t="str">
        <f>SUBSTITUTE(SUBSTITUTE(SUBSTITUTE(SUBSTITUTE(SUBSTITUTE(dados_coletados!AA46, " Da ", " da "), " De ", " de "), " Do ", " do "), " Dos ", " dos "), " Das ", " das ")</f>
        <v>Carlos Jonas Ribeiro Frazão</v>
      </c>
    </row>
    <row r="49" spans="9:10" ht="15.75" x14ac:dyDescent="0.25">
      <c r="I49" s="6" t="str">
        <f>SUBSTITUTE(SUBSTITUTE(SUBSTITUTE(SUBSTITUTE(SUBSTITUTE(dados_coletados!Z47, " Da ", " da "), " De ", " de "), " Do ", " do "), " Dos ", " dos "), " Das ", " das ")</f>
        <v>Elielma Santos da Silva</v>
      </c>
      <c r="J49" s="6" t="str">
        <f>SUBSTITUTE(SUBSTITUTE(SUBSTITUTE(SUBSTITUTE(SUBSTITUTE(dados_coletados!AA47, " Da ", " da "), " De ", " de "), " Do ", " do "), " Dos ", " dos "), " Das ", " das ")</f>
        <v>Paulo Cesar Melo do Vale</v>
      </c>
    </row>
    <row r="50" spans="9:10" ht="15.75" x14ac:dyDescent="0.25">
      <c r="I50" s="6" t="str">
        <f>SUBSTITUTE(SUBSTITUTE(SUBSTITUTE(SUBSTITUTE(SUBSTITUTE(dados_coletados!Z48, " Da ", " da "), " De ", " de "), " Do ", " do "), " Dos ", " dos "), " Das ", " das ")</f>
        <v>Ana Amélia Santos Costa</v>
      </c>
      <c r="J50" s="6" t="str">
        <f>SUBSTITUTE(SUBSTITUTE(SUBSTITUTE(SUBSTITUTE(SUBSTITUTE(dados_coletados!AA48, " Da ", " da "), " De ", " de "), " Do ", " do "), " Dos ", " dos "), " Das ", " das ")</f>
        <v/>
      </c>
    </row>
    <row r="51" spans="9:10" ht="15.75" x14ac:dyDescent="0.25">
      <c r="I51" s="6" t="str">
        <f>SUBSTITUTE(SUBSTITUTE(SUBSTITUTE(SUBSTITUTE(SUBSTITUTE(dados_coletados!Z49, " Da ", " da "), " De ", " de "), " Do ", " do "), " Dos ", " dos "), " Das ", " das ")</f>
        <v>Ana Lidia Barbosa Fonseca</v>
      </c>
      <c r="J51" s="6" t="str">
        <f>SUBSTITUTE(SUBSTITUTE(SUBSTITUTE(SUBSTITUTE(SUBSTITUTE(dados_coletados!AA49, " Da ", " da "), " De ", " de "), " Do ", " do "), " Dos ", " dos "), " Das ", " das ")</f>
        <v>Josiel Fonseca</v>
      </c>
    </row>
    <row r="52" spans="9:10" ht="15.75" x14ac:dyDescent="0.25">
      <c r="I52" s="6" t="str">
        <f>SUBSTITUTE(SUBSTITUTE(SUBSTITUTE(SUBSTITUTE(SUBSTITUTE(dados_coletados!Z50, " Da ", " da "), " De ", " de "), " Do ", " do "), " Dos ", " dos "), " Das ", " das ")</f>
        <v>Damiana Silva Correia</v>
      </c>
      <c r="J52" s="6" t="str">
        <f>SUBSTITUTE(SUBSTITUTE(SUBSTITUTE(SUBSTITUTE(SUBSTITUTE(dados_coletados!AA50, " Da ", " da "), " De ", " de "), " Do ", " do "), " Dos ", " dos "), " Das ", " das ")</f>
        <v>Vicente Castro Leite</v>
      </c>
    </row>
    <row r="53" spans="9:10" ht="15.75" x14ac:dyDescent="0.25">
      <c r="I53" s="6" t="str">
        <f>SUBSTITUTE(SUBSTITUTE(SUBSTITUTE(SUBSTITUTE(SUBSTITUTE(dados_coletados!Z51, " Da ", " da "), " De ", " de "), " Do ", " do "), " Dos ", " dos "), " Das ", " das ")</f>
        <v>Ana Paula Silva Bezerra</v>
      </c>
      <c r="J53" s="6" t="str">
        <f>SUBSTITUTE(SUBSTITUTE(SUBSTITUTE(SUBSTITUTE(SUBSTITUTE(dados_coletados!AA51, " Da ", " da "), " De ", " de "), " Do ", " do "), " Dos ", " dos "), " Das ", " das ")</f>
        <v>Kelson Diones Carvalho Santiago</v>
      </c>
    </row>
    <row r="54" spans="9:10" ht="15.75" x14ac:dyDescent="0.25">
      <c r="I54" s="6" t="str">
        <f>SUBSTITUTE(SUBSTITUTE(SUBSTITUTE(SUBSTITUTE(SUBSTITUTE(dados_coletados!Z52, " Da ", " da "), " De ", " de "), " Do ", " do "), " Dos ", " dos "), " Das ", " das ")</f>
        <v>Daniele Ferreira</v>
      </c>
      <c r="J54" s="6" t="str">
        <f>SUBSTITUTE(SUBSTITUTE(SUBSTITUTE(SUBSTITUTE(SUBSTITUTE(dados_coletados!AA52, " Da ", " da "), " De ", " de "), " Do ", " do "), " Dos ", " dos "), " Das ", " das ")</f>
        <v>Wanderley Lopes Costa</v>
      </c>
    </row>
    <row r="55" spans="9:10" ht="15.75" x14ac:dyDescent="0.25">
      <c r="I55" s="6" t="str">
        <f>SUBSTITUTE(SUBSTITUTE(SUBSTITUTE(SUBSTITUTE(SUBSTITUTE(dados_coletados!Z53, " Da ", " da "), " De ", " de "), " Do ", " do "), " Dos ", " dos "), " Das ", " das ")</f>
        <v>Dejenilce dos Santos Cabral</v>
      </c>
      <c r="J55" s="6" t="str">
        <f>SUBSTITUTE(SUBSTITUTE(SUBSTITUTE(SUBSTITUTE(SUBSTITUTE(dados_coletados!AA53, " Da ", " da "), " De ", " de "), " Do ", " do "), " Dos ", " dos "), " Das ", " das ")</f>
        <v>Paulo Ricardo Nunes Cabral</v>
      </c>
    </row>
    <row r="56" spans="9:10" ht="15.75" x14ac:dyDescent="0.25">
      <c r="I56" s="6" t="str">
        <f>SUBSTITUTE(SUBSTITUTE(SUBSTITUTE(SUBSTITUTE(SUBSTITUTE(dados_coletados!Z54, " Da ", " da "), " De ", " de "), " Do ", " do "), " Dos ", " dos "), " Das ", " das ")</f>
        <v>Gwinity Pinheiro Garros Rodrigues</v>
      </c>
      <c r="J56" s="6" t="str">
        <f>SUBSTITUTE(SUBSTITUTE(SUBSTITUTE(SUBSTITUTE(SUBSTITUTE(dados_coletados!AA54, " Da ", " da "), " De ", " de "), " Do ", " do "), " Dos ", " dos "), " Das ", " das ")</f>
        <v>Antonio Cleuton Rodrigues</v>
      </c>
    </row>
    <row r="57" spans="9:10" ht="15.75" x14ac:dyDescent="0.25">
      <c r="I57" s="6" t="str">
        <f>SUBSTITUTE(SUBSTITUTE(SUBSTITUTE(SUBSTITUTE(SUBSTITUTE(dados_coletados!Z55, " Da ", " da "), " De ", " de "), " Do ", " do "), " Dos ", " dos "), " Das ", " das ")</f>
        <v>Patricia Filgueiras Barbosa</v>
      </c>
      <c r="J57" s="6" t="str">
        <f>SUBSTITUTE(SUBSTITUTE(SUBSTITUTE(SUBSTITUTE(SUBSTITUTE(dados_coletados!AA55, " Da ", " da "), " De ", " de "), " Do ", " do "), " Dos ", " dos "), " Das ", " das ")</f>
        <v>Alisson E Silva Barbosa</v>
      </c>
    </row>
    <row r="58" spans="9:10" ht="15.75" x14ac:dyDescent="0.25">
      <c r="I58" s="6" t="str">
        <f>SUBSTITUTE(SUBSTITUTE(SUBSTITUTE(SUBSTITUTE(SUBSTITUTE(dados_coletados!Z56, " Da ", " da "), " De ", " de "), " Do ", " do "), " Dos ", " dos "), " Das ", " das ")</f>
        <v>Maria do Livramento Alves Machado</v>
      </c>
      <c r="J58" s="6" t="str">
        <f>SUBSTITUTE(SUBSTITUTE(SUBSTITUTE(SUBSTITUTE(SUBSTITUTE(dados_coletados!AA56, " Da ", " da "), " De ", " de "), " Do ", " do "), " Dos ", " dos "), " Das ", " das ")</f>
        <v>John Michael de Sousa Machado Alves</v>
      </c>
    </row>
    <row r="59" spans="9:10" ht="15.75" x14ac:dyDescent="0.25">
      <c r="I59" s="6" t="str">
        <f>SUBSTITUTE(SUBSTITUTE(SUBSTITUTE(SUBSTITUTE(SUBSTITUTE(dados_coletados!Z57, " Da ", " da "), " De ", " de "), " Do ", " do "), " Dos ", " dos "), " Das ", " das ")</f>
        <v>Tatiana Guimaraes</v>
      </c>
      <c r="J59" s="6" t="str">
        <f>SUBSTITUTE(SUBSTITUTE(SUBSTITUTE(SUBSTITUTE(SUBSTITUTE(dados_coletados!AA57, " Da ", " da "), " De ", " de "), " Do ", " do "), " Dos ", " dos "), " Das ", " das ")</f>
        <v>Edmilson de Jesus Mendes Silva Junior</v>
      </c>
    </row>
    <row r="60" spans="9:10" ht="15.75" x14ac:dyDescent="0.25">
      <c r="I60" s="6" t="str">
        <f>SUBSTITUTE(SUBSTITUTE(SUBSTITUTE(SUBSTITUTE(SUBSTITUTE(dados_coletados!Z58, " Da ", " da "), " De ", " de "), " Do ", " do "), " Dos ", " dos "), " Das ", " das ")</f>
        <v>Rafaela Alves Martins</v>
      </c>
      <c r="J60" s="6" t="str">
        <f>SUBSTITUTE(SUBSTITUTE(SUBSTITUTE(SUBSTITUTE(SUBSTITUTE(dados_coletados!AA58, " Da ", " da "), " De ", " de "), " Do ", " do "), " Dos ", " dos "), " Das ", " das ")</f>
        <v>Dielmilson Soares Ferreira</v>
      </c>
    </row>
    <row r="61" spans="9:10" ht="15.75" x14ac:dyDescent="0.25">
      <c r="I61" s="6" t="str">
        <f>SUBSTITUTE(SUBSTITUTE(SUBSTITUTE(SUBSTITUTE(SUBSTITUTE(dados_coletados!Z59, " Da ", " da "), " De ", " de "), " Do ", " do "), " Dos ", " dos "), " Das ", " das ")</f>
        <v>Joanilce Marques Tavares</v>
      </c>
      <c r="J61" s="6" t="str">
        <f>SUBSTITUTE(SUBSTITUTE(SUBSTITUTE(SUBSTITUTE(SUBSTITUTE(dados_coletados!AA59, " Da ", " da "), " De ", " de "), " Do ", " do "), " Dos ", " dos "), " Das ", " das ")</f>
        <v>Jamerson Augusto dos Santos Melo</v>
      </c>
    </row>
    <row r="62" spans="9:10" ht="15.75" x14ac:dyDescent="0.25">
      <c r="I62" s="6" t="str">
        <f>SUBSTITUTE(SUBSTITUTE(SUBSTITUTE(SUBSTITUTE(SUBSTITUTE(dados_coletados!Z60, " Da ", " da "), " De ", " de "), " Do ", " do "), " Dos ", " dos "), " Das ", " das ")</f>
        <v>Denise Rocha da Silva</v>
      </c>
      <c r="J62" s="6" t="str">
        <f>SUBSTITUTE(SUBSTITUTE(SUBSTITUTE(SUBSTITUTE(SUBSTITUTE(dados_coletados!AA60, " Da ", " da "), " De ", " de "), " Do ", " do "), " Dos ", " dos "), " Das ", " das ")</f>
        <v>Diego Ferreira</v>
      </c>
    </row>
    <row r="63" spans="9:10" ht="15.75" x14ac:dyDescent="0.25">
      <c r="I63" s="6" t="str">
        <f>SUBSTITUTE(SUBSTITUTE(SUBSTITUTE(SUBSTITUTE(SUBSTITUTE(dados_coletados!Z61, " Da ", " da "), " De ", " de "), " Do ", " do "), " Dos ", " dos "), " Das ", " das ")</f>
        <v>Jaquiene  Alves Batista</v>
      </c>
      <c r="J63" s="6" t="str">
        <f>SUBSTITUTE(SUBSTITUTE(SUBSTITUTE(SUBSTITUTE(SUBSTITUTE(dados_coletados!AA61, " Da ", " da "), " De ", " de "), " Do ", " do "), " Dos ", " dos "), " Das ", " das ")</f>
        <v>Celso Luis Guimarães</v>
      </c>
    </row>
    <row r="64" spans="9:10" ht="15.75" x14ac:dyDescent="0.25">
      <c r="I64" s="6" t="str">
        <f>SUBSTITUTE(SUBSTITUTE(SUBSTITUTE(SUBSTITUTE(SUBSTITUTE(dados_coletados!Z62, " Da ", " da "), " De ", " de "), " Do ", " do "), " Dos ", " dos "), " Das ", " das ")</f>
        <v>Valeria de Lourdes Cardoso Mendes</v>
      </c>
      <c r="J64" s="6" t="str">
        <f>SUBSTITUTE(SUBSTITUTE(SUBSTITUTE(SUBSTITUTE(SUBSTITUTE(dados_coletados!AA62, " Da ", " da "), " De ", " de "), " Do ", " do "), " Dos ", " dos "), " Das ", " das ")</f>
        <v>Gilvan Bastos Lima</v>
      </c>
    </row>
    <row r="65" spans="9:10" ht="15.75" x14ac:dyDescent="0.25">
      <c r="I65" s="6" t="str">
        <f>SUBSTITUTE(SUBSTITUTE(SUBSTITUTE(SUBSTITUTE(SUBSTITUTE(dados_coletados!Z63, " Da ", " da "), " De ", " de "), " Do ", " do "), " Dos ", " dos "), " Das ", " das ")</f>
        <v>Darlen Thalya de Sousa Nascimento</v>
      </c>
      <c r="J65" s="6" t="str">
        <f>SUBSTITUTE(SUBSTITUTE(SUBSTITUTE(SUBSTITUTE(SUBSTITUTE(dados_coletados!AA63, " Da ", " da "), " De ", " de "), " Do ", " do "), " Dos ", " dos "), " Das ", " das ")</f>
        <v>Eliedson Barbosa Castro</v>
      </c>
    </row>
    <row r="66" spans="9:10" ht="15.75" x14ac:dyDescent="0.25">
      <c r="I66" s="6" t="str">
        <f>SUBSTITUTE(SUBSTITUTE(SUBSTITUTE(SUBSTITUTE(SUBSTITUTE(dados_coletados!Z64, " Da ", " da "), " De ", " de "), " Do ", " do "), " Dos ", " dos "), " Das ", " das ")</f>
        <v>Werllane Barros Ferreira</v>
      </c>
      <c r="J66" s="6" t="str">
        <f>SUBSTITUTE(SUBSTITUTE(SUBSTITUTE(SUBSTITUTE(SUBSTITUTE(dados_coletados!AA64, " Da ", " da "), " De ", " de "), " Do ", " do "), " Dos ", " dos "), " Das ", " das ")</f>
        <v>Erenildo dos Santos</v>
      </c>
    </row>
    <row r="67" spans="9:10" ht="15.75" x14ac:dyDescent="0.25">
      <c r="I67" s="6" t="str">
        <f>SUBSTITUTE(SUBSTITUTE(SUBSTITUTE(SUBSTITUTE(SUBSTITUTE(dados_coletados!Z65, " Da ", " da "), " De ", " de "), " Do ", " do "), " Dos ", " dos "), " Das ", " das ")</f>
        <v>Loiziane Lopes da Cruz</v>
      </c>
      <c r="J67" s="6" t="str">
        <f>SUBSTITUTE(SUBSTITUTE(SUBSTITUTE(SUBSTITUTE(SUBSTITUTE(dados_coletados!AA65, " Da ", " da "), " De ", " de "), " Do ", " do "), " Dos ", " dos "), " Das ", " das ")</f>
        <v>Antonio Ivo Ferreira de Brito</v>
      </c>
    </row>
    <row r="68" spans="9:10" ht="15.75" x14ac:dyDescent="0.25">
      <c r="I68" s="6" t="str">
        <f>SUBSTITUTE(SUBSTITUTE(SUBSTITUTE(SUBSTITUTE(SUBSTITUTE(dados_coletados!Z66, " Da ", " da "), " De ", " de "), " Do ", " do "), " Dos ", " dos "), " Das ", " das ")</f>
        <v>Josy Jane Garcia da Silva Serejo</v>
      </c>
      <c r="J68" s="6" t="str">
        <f>SUBSTITUTE(SUBSTITUTE(SUBSTITUTE(SUBSTITUTE(SUBSTITUTE(dados_coletados!AA66, " Da ", " da "), " De ", " de "), " Do ", " do "), " Dos ", " dos "), " Das ", " das ")</f>
        <v>Elder Perreira Serejo</v>
      </c>
    </row>
    <row r="69" spans="9:10" ht="15.75" x14ac:dyDescent="0.25">
      <c r="I69" s="6" t="str">
        <f>SUBSTITUTE(SUBSTITUTE(SUBSTITUTE(SUBSTITUTE(SUBSTITUTE(dados_coletados!Z67, " Da ", " da "), " De ", " de "), " Do ", " do "), " Dos ", " dos "), " Das ", " das ")</f>
        <v>Jessica Maria Lima Silva</v>
      </c>
      <c r="J69" s="6" t="str">
        <f>SUBSTITUTE(SUBSTITUTE(SUBSTITUTE(SUBSTITUTE(SUBSTITUTE(dados_coletados!AA67, " Da ", " da "), " De ", " de "), " Do ", " do "), " Dos ", " dos "), " Das ", " das ")</f>
        <v>Izael dos Santos Ramos</v>
      </c>
    </row>
    <row r="70" spans="9:10" ht="15.75" x14ac:dyDescent="0.25">
      <c r="I70" s="6" t="str">
        <f>SUBSTITUTE(SUBSTITUTE(SUBSTITUTE(SUBSTITUTE(SUBSTITUTE(dados_coletados!Z68, " Da ", " da "), " De ", " de "), " Do ", " do "), " Dos ", " dos "), " Das ", " das ")</f>
        <v>Elizianne Froes Leite Rabelo</v>
      </c>
      <c r="J70" s="6" t="str">
        <f>SUBSTITUTE(SUBSTITUTE(SUBSTITUTE(SUBSTITUTE(SUBSTITUTE(dados_coletados!AA68, " Da ", " da "), " De ", " de "), " Do ", " do "), " Dos ", " dos "), " Das ", " das ")</f>
        <v>Davi Marcelo Santos Rabelo</v>
      </c>
    </row>
    <row r="71" spans="9:10" ht="15.75" x14ac:dyDescent="0.25">
      <c r="I71" s="6" t="str">
        <f>SUBSTITUTE(SUBSTITUTE(SUBSTITUTE(SUBSTITUTE(SUBSTITUTE(dados_coletados!Z69, " Da ", " da "), " De ", " de "), " Do ", " do "), " Dos ", " dos "), " Das ", " das ")</f>
        <v>Marcia Rejane Vieira de Araújo</v>
      </c>
      <c r="J71" s="6" t="str">
        <f>SUBSTITUTE(SUBSTITUTE(SUBSTITUTE(SUBSTITUTE(SUBSTITUTE(dados_coletados!AA69, " Da ", " da "), " De ", " de "), " Do ", " do "), " Dos ", " dos "), " Das ", " das ")</f>
        <v>Marcos Antonio Miranda de Araujo</v>
      </c>
    </row>
    <row r="72" spans="9:10" ht="15.75" x14ac:dyDescent="0.25">
      <c r="I72" s="6" t="str">
        <f>SUBSTITUTE(SUBSTITUTE(SUBSTITUTE(SUBSTITUTE(SUBSTITUTE(dados_coletados!Z70, " Da ", " da "), " De ", " de "), " Do ", " do "), " Dos ", " dos "), " Das ", " das ")</f>
        <v>Elene Maria de Teixeira Oliveira</v>
      </c>
      <c r="J72" s="6" t="str">
        <f>SUBSTITUTE(SUBSTITUTE(SUBSTITUTE(SUBSTITUTE(SUBSTITUTE(dados_coletados!AA70, " Da ", " da "), " De ", " de "), " Do ", " do "), " Dos ", " dos "), " Das ", " das ")</f>
        <v>Elton da Cruz Oliveira</v>
      </c>
    </row>
    <row r="73" spans="9:10" ht="15.75" x14ac:dyDescent="0.25">
      <c r="I73" s="6" t="str">
        <f>SUBSTITUTE(SUBSTITUTE(SUBSTITUTE(SUBSTITUTE(SUBSTITUTE(dados_coletados!Z71, " Da ", " da "), " De ", " de "), " Do ", " do "), " Dos ", " dos "), " Das ", " das ")</f>
        <v>Renata Oliveira Machado</v>
      </c>
      <c r="J73" s="6" t="str">
        <f>SUBSTITUTE(SUBSTITUTE(SUBSTITUTE(SUBSTITUTE(SUBSTITUTE(dados_coletados!AA71, " Da ", " da "), " De ", " de "), " Do ", " do "), " Dos ", " dos "), " Das ", " das ")</f>
        <v>Mazzukyer Croiff Rego Sousa</v>
      </c>
    </row>
    <row r="74" spans="9:10" ht="15.75" x14ac:dyDescent="0.25">
      <c r="I74" s="6" t="str">
        <f>SUBSTITUTE(SUBSTITUTE(SUBSTITUTE(SUBSTITUTE(SUBSTITUTE(dados_coletados!Z72, " Da ", " da "), " De ", " de "), " Do ", " do "), " Dos ", " dos "), " Das ", " das ")</f>
        <v>Danielly Espindola Serra Santos</v>
      </c>
      <c r="J74" s="6" t="str">
        <f>SUBSTITUTE(SUBSTITUTE(SUBSTITUTE(SUBSTITUTE(SUBSTITUTE(dados_coletados!AA72, " Da ", " da "), " De ", " de "), " Do ", " do "), " Dos ", " dos "), " Das ", " das ")</f>
        <v>LuãS César de Souza Costa</v>
      </c>
    </row>
    <row r="75" spans="9:10" ht="15.75" x14ac:dyDescent="0.25">
      <c r="I75" s="6" t="str">
        <f>SUBSTITUTE(SUBSTITUTE(SUBSTITUTE(SUBSTITUTE(SUBSTITUTE(dados_coletados!Z73, " Da ", " da "), " De ", " de "), " Do ", " do "), " Dos ", " dos "), " Das ", " das ")</f>
        <v>Marcia Gorete Lisboa Sa</v>
      </c>
      <c r="J75" s="6" t="str">
        <f>SUBSTITUTE(SUBSTITUTE(SUBSTITUTE(SUBSTITUTE(SUBSTITUTE(dados_coletados!AA73, " Da ", " da "), " De ", " de "), " Do ", " do "), " Dos ", " dos "), " Das ", " das ")</f>
        <v>Manoel Fernandes Sousa</v>
      </c>
    </row>
    <row r="76" spans="9:10" ht="15.75" x14ac:dyDescent="0.25">
      <c r="I76" s="6" t="str">
        <f>SUBSTITUTE(SUBSTITUTE(SUBSTITUTE(SUBSTITUTE(SUBSTITUTE(dados_coletados!Z74, " Da ", " da "), " De ", " de "), " Do ", " do "), " Dos ", " dos "), " Das ", " das ")</f>
        <v>Vera Lucia Galeno Costa</v>
      </c>
      <c r="J76" s="6" t="str">
        <f>SUBSTITUTE(SUBSTITUTE(SUBSTITUTE(SUBSTITUTE(SUBSTITUTE(dados_coletados!AA74, " Da ", " da "), " De ", " de "), " Do ", " do "), " Dos ", " dos "), " Das ", " das ")</f>
        <v>Francisco Alves Reis Filho</v>
      </c>
    </row>
    <row r="77" spans="9:10" ht="15.75" x14ac:dyDescent="0.25">
      <c r="I77" s="6" t="str">
        <f>SUBSTITUTE(SUBSTITUTE(SUBSTITUTE(SUBSTITUTE(SUBSTITUTE(dados_coletados!Z75, " Da ", " da "), " De ", " de "), " Do ", " do "), " Dos ", " dos "), " Das ", " das ")</f>
        <v>Ada Rubia Nunes Martins</v>
      </c>
      <c r="J77" s="6" t="str">
        <f>SUBSTITUTE(SUBSTITUTE(SUBSTITUTE(SUBSTITUTE(SUBSTITUTE(dados_coletados!AA75, " Da ", " da "), " De ", " de "), " Do ", " do "), " Dos ", " dos "), " Das ", " das ")</f>
        <v>Antonio Vitorio Lopes</v>
      </c>
    </row>
    <row r="78" spans="9:10" ht="15.75" x14ac:dyDescent="0.25">
      <c r="I78" s="6" t="str">
        <f>SUBSTITUTE(SUBSTITUTE(SUBSTITUTE(SUBSTITUTE(SUBSTITUTE(dados_coletados!Z76, " Da ", " da "), " De ", " de "), " Do ", " do "), " Dos ", " dos "), " Das ", " das ")</f>
        <v>Claudiane Silva Ferreira Pereira</v>
      </c>
      <c r="J78" s="6" t="str">
        <f>SUBSTITUTE(SUBSTITUTE(SUBSTITUTE(SUBSTITUTE(SUBSTITUTE(dados_coletados!AA76, " Da ", " da "), " De ", " de "), " Do ", " do "), " Dos ", " dos "), " Das ", " das ")</f>
        <v>Elvis de Jesus Pinheiro Pereira</v>
      </c>
    </row>
    <row r="79" spans="9:10" ht="15.75" x14ac:dyDescent="0.25">
      <c r="I79" s="6" t="str">
        <f>SUBSTITUTE(SUBSTITUTE(SUBSTITUTE(SUBSTITUTE(SUBSTITUTE(dados_coletados!Z77, " Da ", " da "), " De ", " de "), " Do ", " do "), " Dos ", " dos "), " Das ", " das ")</f>
        <v>Edilane de Sousa Sena</v>
      </c>
      <c r="J79" s="6" t="str">
        <f>SUBSTITUTE(SUBSTITUTE(SUBSTITUTE(SUBSTITUTE(SUBSTITUTE(dados_coletados!AA77, " Da ", " da "), " De ", " de "), " Do ", " do "), " Dos ", " dos "), " Das ", " das ")</f>
        <v>Jacinaldo Cardoso Ribeiro</v>
      </c>
    </row>
    <row r="80" spans="9:10" ht="15.75" x14ac:dyDescent="0.25">
      <c r="I80" s="6" t="str">
        <f>SUBSTITUTE(SUBSTITUTE(SUBSTITUTE(SUBSTITUTE(SUBSTITUTE(dados_coletados!Z78, " Da ", " da "), " De ", " de "), " Do ", " do "), " Dos ", " dos "), " Das ", " das ")</f>
        <v>Geovana Freitas Matos da Silva</v>
      </c>
      <c r="J80" s="6" t="str">
        <f>SUBSTITUTE(SUBSTITUTE(SUBSTITUTE(SUBSTITUTE(SUBSTITUTE(dados_coletados!AA78, " Da ", " da "), " De ", " de "), " Do ", " do "), " Dos ", " dos "), " Das ", " das ")</f>
        <v>Flavio Rodrigues da Silva</v>
      </c>
    </row>
    <row r="81" spans="9:10" ht="15.75" x14ac:dyDescent="0.25">
      <c r="I81" s="6" t="str">
        <f>SUBSTITUTE(SUBSTITUTE(SUBSTITUTE(SUBSTITUTE(SUBSTITUTE(dados_coletados!Z79, " Da ", " da "), " De ", " de "), " Do ", " do "), " Dos ", " dos "), " Das ", " das ")</f>
        <v>Alcilene Maria de Sousa</v>
      </c>
      <c r="J81" s="6" t="str">
        <f>SUBSTITUTE(SUBSTITUTE(SUBSTITUTE(SUBSTITUTE(SUBSTITUTE(dados_coletados!AA79, " Da ", " da "), " De ", " de "), " Do ", " do "), " Dos ", " dos "), " Das ", " das ")</f>
        <v>Erinaldo dos Santos Calisto</v>
      </c>
    </row>
    <row r="82" spans="9:10" ht="15.75" x14ac:dyDescent="0.25">
      <c r="I82" s="6" t="str">
        <f>SUBSTITUTE(SUBSTITUTE(SUBSTITUTE(SUBSTITUTE(SUBSTITUTE(dados_coletados!Z80, " Da ", " da "), " De ", " de "), " Do ", " do "), " Dos ", " dos "), " Das ", " das ")</f>
        <v>Solange Rodrigues Coelho</v>
      </c>
      <c r="J82" s="6" t="str">
        <f>SUBSTITUTE(SUBSTITUTE(SUBSTITUTE(SUBSTITUTE(SUBSTITUTE(dados_coletados!AA80, " Da ", " da "), " De ", " de "), " Do ", " do "), " Dos ", " dos "), " Das ", " das ")</f>
        <v>Duvalber Ferreira dos Santos Marques</v>
      </c>
    </row>
    <row r="83" spans="9:10" ht="15.75" x14ac:dyDescent="0.25">
      <c r="I83" s="6" t="str">
        <f>SUBSTITUTE(SUBSTITUTE(SUBSTITUTE(SUBSTITUTE(SUBSTITUTE(dados_coletados!Z81, " Da ", " da "), " De ", " de "), " Do ", " do "), " Dos ", " dos "), " Das ", " das ")</f>
        <v>Josenilde Pereira Ribeiro</v>
      </c>
      <c r="J83" s="6" t="str">
        <f>SUBSTITUTE(SUBSTITUTE(SUBSTITUTE(SUBSTITUTE(SUBSTITUTE(dados_coletados!AA81, " Da ", " da "), " De ", " de "), " Do ", " do "), " Dos ", " dos "), " Das ", " das ")</f>
        <v>José Benedito Brito Junior</v>
      </c>
    </row>
    <row r="84" spans="9:10" ht="15.75" x14ac:dyDescent="0.25">
      <c r="I84" s="6" t="str">
        <f>SUBSTITUTE(SUBSTITUTE(SUBSTITUTE(SUBSTITUTE(SUBSTITUTE(dados_coletados!Z82, " Da ", " da "), " De ", " de "), " Do ", " do "), " Dos ", " dos "), " Das ", " das ")</f>
        <v>Meirileia Cantanhede E Cantanhede</v>
      </c>
      <c r="J84" s="6" t="str">
        <f>SUBSTITUTE(SUBSTITUTE(SUBSTITUTE(SUBSTITUTE(SUBSTITUTE(dados_coletados!AA82, " Da ", " da "), " De ", " de "), " Do ", " do "), " Dos ", " dos "), " Das ", " das ")</f>
        <v>Rosivaldo de Jesus Rodrigues</v>
      </c>
    </row>
    <row r="85" spans="9:10" ht="15.75" x14ac:dyDescent="0.25">
      <c r="I85" s="6" t="str">
        <f>SUBSTITUTE(SUBSTITUTE(SUBSTITUTE(SUBSTITUTE(SUBSTITUTE(dados_coletados!Z83, " Da ", " da "), " De ", " de "), " Do ", " do "), " Dos ", " dos "), " Das ", " das ")</f>
        <v>Suelen Lindoso Pinheiro</v>
      </c>
      <c r="J85" s="6" t="str">
        <f>SUBSTITUTE(SUBSTITUTE(SUBSTITUTE(SUBSTITUTE(SUBSTITUTE(dados_coletados!AA83, " Da ", " da "), " De ", " de "), " Do ", " do "), " Dos ", " dos "), " Das ", " das ")</f>
        <v>Paulo Ricardo Pinto Castro</v>
      </c>
    </row>
    <row r="86" spans="9:10" ht="15.75" x14ac:dyDescent="0.25">
      <c r="I86" s="6" t="str">
        <f>SUBSTITUTE(SUBSTITUTE(SUBSTITUTE(SUBSTITUTE(SUBSTITUTE(dados_coletados!Z84, " Da ", " da "), " De ", " de "), " Do ", " do "), " Dos ", " dos "), " Das ", " das ")</f>
        <v>Cleonice Aparecida Maia Medeiros</v>
      </c>
      <c r="J86" s="6" t="str">
        <f>SUBSTITUTE(SUBSTITUTE(SUBSTITUTE(SUBSTITUTE(SUBSTITUTE(dados_coletados!AA84, " Da ", " da "), " De ", " de "), " Do ", " do "), " Dos ", " dos "), " Das ", " das ")</f>
        <v>Sergio Sousa Alderaldo</v>
      </c>
    </row>
    <row r="87" spans="9:10" ht="15.75" x14ac:dyDescent="0.25">
      <c r="I87" s="6" t="str">
        <f>SUBSTITUTE(SUBSTITUTE(SUBSTITUTE(SUBSTITUTE(SUBSTITUTE(dados_coletados!Z85, " Da ", " da "), " De ", " de "), " Do ", " do "), " Dos ", " dos "), " Das ", " das ")</f>
        <v>Isabel Cristina Mendes Carvalho</v>
      </c>
      <c r="J87" s="6" t="str">
        <f>SUBSTITUTE(SUBSTITUTE(SUBSTITUTE(SUBSTITUTE(SUBSTITUTE(dados_coletados!AA85, " Da ", " da "), " De ", " de "), " Do ", " do "), " Dos ", " dos "), " Das ", " das ")</f>
        <v>Marcelo Ximenes Mouzinho</v>
      </c>
    </row>
    <row r="88" spans="9:10" ht="15.75" x14ac:dyDescent="0.25">
      <c r="I88" s="6" t="str">
        <f>SUBSTITUTE(SUBSTITUTE(SUBSTITUTE(SUBSTITUTE(SUBSTITUTE(dados_coletados!Z86, " Da ", " da "), " De ", " de "), " Do ", " do "), " Dos ", " dos "), " Das ", " das ")</f>
        <v>Luana Cristina Almeida</v>
      </c>
      <c r="J88" s="6" t="str">
        <f>SUBSTITUTE(SUBSTITUTE(SUBSTITUTE(SUBSTITUTE(SUBSTITUTE(dados_coletados!AA86, " Da ", " da "), " De ", " de "), " Do ", " do "), " Dos ", " dos "), " Das ", " das ")</f>
        <v>Michel Araujo Rubim</v>
      </c>
    </row>
    <row r="89" spans="9:10" ht="15.75" x14ac:dyDescent="0.25">
      <c r="I89" s="6" t="str">
        <f>SUBSTITUTE(SUBSTITUTE(SUBSTITUTE(SUBSTITUTE(SUBSTITUTE(dados_coletados!Z87, " Da ", " da "), " De ", " de "), " Do ", " do "), " Dos ", " dos "), " Das ", " das ")</f>
        <v>Elisangela Everton Martins</v>
      </c>
      <c r="J89" s="6" t="str">
        <f>SUBSTITUTE(SUBSTITUTE(SUBSTITUTE(SUBSTITUTE(SUBSTITUTE(dados_coletados!AA87, " Da ", " da "), " De ", " de "), " Do ", " do "), " Dos ", " dos "), " Das ", " das ")</f>
        <v>Alex Angelo Sebastiao Martins</v>
      </c>
    </row>
    <row r="90" spans="9:10" ht="15.75" x14ac:dyDescent="0.25">
      <c r="I90" s="6" t="str">
        <f>SUBSTITUTE(SUBSTITUTE(SUBSTITUTE(SUBSTITUTE(SUBSTITUTE(dados_coletados!Z88, " Da ", " da "), " De ", " de "), " Do ", " do "), " Dos ", " dos "), " Das ", " das ")</f>
        <v>Maria de Lourdes Rodrigues dos Santos</v>
      </c>
      <c r="J90" s="6" t="str">
        <f>SUBSTITUTE(SUBSTITUTE(SUBSTITUTE(SUBSTITUTE(SUBSTITUTE(dados_coletados!AA88, " Da ", " da "), " De ", " de "), " Do ", " do "), " Dos ", " dos "), " Das ", " das ")</f>
        <v>Thertualiano Braga</v>
      </c>
    </row>
    <row r="91" spans="9:10" ht="15.75" x14ac:dyDescent="0.25">
      <c r="I91" s="6" t="str">
        <f>SUBSTITUTE(SUBSTITUTE(SUBSTITUTE(SUBSTITUTE(SUBSTITUTE(dados_coletados!Z89, " Da ", " da "), " De ", " de "), " Do ", " do "), " Dos ", " dos "), " Das ", " das ")</f>
        <v>Claudiane Silva Ferreira Pereira</v>
      </c>
      <c r="J91" s="6" t="str">
        <f>SUBSTITUTE(SUBSTITUTE(SUBSTITUTE(SUBSTITUTE(SUBSTITUTE(dados_coletados!AA89, " Da ", " da "), " De ", " de "), " Do ", " do "), " Dos ", " dos "), " Das ", " das ")</f>
        <v>Elvis de Jesus Pinheiro Pereira</v>
      </c>
    </row>
    <row r="92" spans="9:10" ht="15.75" x14ac:dyDescent="0.25">
      <c r="I92" s="6" t="str">
        <f>SUBSTITUTE(SUBSTITUTE(SUBSTITUTE(SUBSTITUTE(SUBSTITUTE(dados_coletados!Z90, " Da ", " da "), " De ", " de "), " Do ", " do "), " Dos ", " dos "), " Das ", " das ")</f>
        <v>Danielle Nascimento de Sousa</v>
      </c>
      <c r="J92" s="6" t="str">
        <f>SUBSTITUTE(SUBSTITUTE(SUBSTITUTE(SUBSTITUTE(SUBSTITUTE(dados_coletados!AA90, " Da ", " da "), " De ", " de "), " Do ", " do "), " Dos ", " dos "), " Das ", " das ")</f>
        <v>Mauro Henrique Oliveira</v>
      </c>
    </row>
    <row r="93" spans="9:10" ht="15.75" x14ac:dyDescent="0.25">
      <c r="I93" s="6" t="str">
        <f>SUBSTITUTE(SUBSTITUTE(SUBSTITUTE(SUBSTITUTE(SUBSTITUTE(dados_coletados!Z91, " Da ", " da "), " De ", " de "), " Do ", " do "), " Dos ", " dos "), " Das ", " das ")</f>
        <v>Elisandra da Silva Costa</v>
      </c>
      <c r="J93" s="6" t="str">
        <f>SUBSTITUTE(SUBSTITUTE(SUBSTITUTE(SUBSTITUTE(SUBSTITUTE(dados_coletados!AA91, " Da ", " da "), " De ", " de "), " Do ", " do "), " Dos ", " dos "), " Das ", " das ")</f>
        <v>Fagner Alves Santos</v>
      </c>
    </row>
    <row r="94" spans="9:10" ht="15.75" x14ac:dyDescent="0.25">
      <c r="I94" s="6" t="str">
        <f>SUBSTITUTE(SUBSTITUTE(SUBSTITUTE(SUBSTITUTE(SUBSTITUTE(dados_coletados!Z92, " Da ", " da "), " De ", " de "), " Do ", " do "), " Dos ", " dos "), " Das ", " das ")</f>
        <v>Elida Cristina Frazão Lobato</v>
      </c>
      <c r="J94" s="6" t="str">
        <f>SUBSTITUTE(SUBSTITUTE(SUBSTITUTE(SUBSTITUTE(SUBSTITUTE(dados_coletados!AA92, " Da ", " da "), " De ", " de "), " Do ", " do "), " Dos ", " dos "), " Das ", " das ")</f>
        <v>Luis Henrique de Sousa Lobato</v>
      </c>
    </row>
    <row r="95" spans="9:10" ht="15.75" x14ac:dyDescent="0.25">
      <c r="I95" s="6" t="str">
        <f>SUBSTITUTE(SUBSTITUTE(SUBSTITUTE(SUBSTITUTE(SUBSTITUTE(dados_coletados!Z93, " Da ", " da "), " De ", " de "), " Do ", " do "), " Dos ", " dos "), " Das ", " das ")</f>
        <v>Laís Cristina Nascimento dos Santos</v>
      </c>
      <c r="J95" s="6" t="str">
        <f>SUBSTITUTE(SUBSTITUTE(SUBSTITUTE(SUBSTITUTE(SUBSTITUTE(dados_coletados!AA93, " Da ", " da "), " De ", " de "), " Do ", " do "), " Dos ", " dos "), " Das ", " das ")</f>
        <v>Fernando Marques dos Santos</v>
      </c>
    </row>
    <row r="96" spans="9:10" ht="15.75" x14ac:dyDescent="0.25">
      <c r="I96" s="6" t="str">
        <f>SUBSTITUTE(SUBSTITUTE(SUBSTITUTE(SUBSTITUTE(SUBSTITUTE(dados_coletados!Z94, " Da ", " da "), " De ", " de "), " Do ", " do "), " Dos ", " dos "), " Das ", " das ")</f>
        <v>Euza Maria Sousa da Conceição</v>
      </c>
      <c r="J96" s="6" t="str">
        <f>SUBSTITUTE(SUBSTITUTE(SUBSTITUTE(SUBSTITUTE(SUBSTITUTE(dados_coletados!AA94, " Da ", " da "), " De ", " de "), " Do ", " do "), " Dos ", " dos "), " Das ", " das ")</f>
        <v>Kleiton Robson Bastos Teixeira</v>
      </c>
    </row>
    <row r="97" spans="9:10" ht="15.75" x14ac:dyDescent="0.25">
      <c r="I97" s="6" t="str">
        <f>SUBSTITUTE(SUBSTITUTE(SUBSTITUTE(SUBSTITUTE(SUBSTITUTE(dados_coletados!Z95, " Da ", " da "), " De ", " de "), " Do ", " do "), " Dos ", " dos "), " Das ", " das ")</f>
        <v>Suzane de Jesus Sena Brandao</v>
      </c>
      <c r="J97" s="6" t="str">
        <f>SUBSTITUTE(SUBSTITUTE(SUBSTITUTE(SUBSTITUTE(SUBSTITUTE(dados_coletados!AA95, " Da ", " da "), " De ", " de "), " Do ", " do "), " Dos ", " dos "), " Das ", " das ")</f>
        <v>Henrique Jorge Ramos Brito</v>
      </c>
    </row>
    <row r="98" spans="9:10" ht="15.75" x14ac:dyDescent="0.25">
      <c r="I98" s="6" t="str">
        <f>SUBSTITUTE(SUBSTITUTE(SUBSTITUTE(SUBSTITUTE(SUBSTITUTE(dados_coletados!Z96, " Da ", " da "), " De ", " de "), " Do ", " do "), " Dos ", " dos "), " Das ", " das ")</f>
        <v>Maria Margarida Barros Coelho</v>
      </c>
      <c r="J98" s="6" t="str">
        <f>SUBSTITUTE(SUBSTITUTE(SUBSTITUTE(SUBSTITUTE(SUBSTITUTE(dados_coletados!AA96, " Da ", " da "), " De ", " de "), " Do ", " do "), " Dos ", " dos "), " Das ", " das ")</f>
        <v>Marcondes Antonio Ferreira da Silva</v>
      </c>
    </row>
    <row r="99" spans="9:10" ht="15.75" x14ac:dyDescent="0.25">
      <c r="I99" s="6" t="str">
        <f>SUBSTITUTE(SUBSTITUTE(SUBSTITUTE(SUBSTITUTE(SUBSTITUTE(dados_coletados!Z97, " Da ", " da "), " De ", " de "), " Do ", " do "), " Dos ", " dos "), " Das ", " das ")</f>
        <v>Franciele de Maria Ramos Santos</v>
      </c>
      <c r="J99" s="6" t="str">
        <f>SUBSTITUTE(SUBSTITUTE(SUBSTITUTE(SUBSTITUTE(SUBSTITUTE(dados_coletados!AA97, " Da ", " da "), " De ", " de "), " Do ", " do "), " Dos ", " dos "), " Das ", " das ")</f>
        <v>Jadielson Torres Pimentel</v>
      </c>
    </row>
    <row r="100" spans="9:10" ht="15.75" x14ac:dyDescent="0.25">
      <c r="I100" s="6" t="str">
        <f>SUBSTITUTE(SUBSTITUTE(SUBSTITUTE(SUBSTITUTE(SUBSTITUTE(dados_coletados!Z98, " Da ", " da "), " De ", " de "), " Do ", " do "), " Dos ", " dos "), " Das ", " das ")</f>
        <v>Noemi de Jesus Lopes Cardoso</v>
      </c>
      <c r="J100" s="6" t="str">
        <f>SUBSTITUTE(SUBSTITUTE(SUBSTITUTE(SUBSTITUTE(SUBSTITUTE(dados_coletados!AA98, " Da ", " da "), " De ", " de "), " Do ", " do "), " Dos ", " dos "), " Das ", " das ")</f>
        <v>Jairo Alfonso Diaz Laverde</v>
      </c>
    </row>
    <row r="101" spans="9:10" ht="15.75" x14ac:dyDescent="0.25">
      <c r="I101" s="6" t="str">
        <f>SUBSTITUTE(SUBSTITUTE(SUBSTITUTE(SUBSTITUTE(SUBSTITUTE(dados_coletados!Z99, " Da ", " da "), " De ", " de "), " Do ", " do "), " Dos ", " dos "), " Das ", " das ")</f>
        <v>Marcia Gorete Lisboa Sa</v>
      </c>
      <c r="J101" s="6" t="str">
        <f>SUBSTITUTE(SUBSTITUTE(SUBSTITUTE(SUBSTITUTE(SUBSTITUTE(dados_coletados!AA99, " Da ", " da "), " De ", " de "), " Do ", " do "), " Dos ", " dos "), " Das ", " das ")</f>
        <v>Manoel Fernandes Sousa</v>
      </c>
    </row>
    <row r="102" spans="9:10" ht="15.75" x14ac:dyDescent="0.25">
      <c r="I102" s="6" t="str">
        <f>SUBSTITUTE(SUBSTITUTE(SUBSTITUTE(SUBSTITUTE(SUBSTITUTE(dados_coletados!Z100, " Da ", " da "), " De ", " de "), " Do ", " do "), " Dos ", " dos "), " Das ", " das ")</f>
        <v>Kletiana Farias Rabelo</v>
      </c>
      <c r="J102" s="6" t="str">
        <f>SUBSTITUTE(SUBSTITUTE(SUBSTITUTE(SUBSTITUTE(SUBSTITUTE(dados_coletados!AA100, " Da ", " da "), " De ", " de "), " Do ", " do "), " Dos ", " dos "), " Das ", " das ")</f>
        <v>Wenderson de Freitas Lima</v>
      </c>
    </row>
    <row r="103" spans="9:10" ht="15.75" x14ac:dyDescent="0.25">
      <c r="I103" s="6" t="str">
        <f>SUBSTITUTE(SUBSTITUTE(SUBSTITUTE(SUBSTITUTE(SUBSTITUTE(dados_coletados!Z101, " Da ", " da "), " De ", " de "), " Do ", " do "), " Dos ", " dos "), " Das ", " das ")</f>
        <v>Glaucia Rosane Franca Moraes</v>
      </c>
      <c r="J103" s="6" t="str">
        <f>SUBSTITUTE(SUBSTITUTE(SUBSTITUTE(SUBSTITUTE(SUBSTITUTE(dados_coletados!AA101, " Da ", " da "), " De ", " de "), " Do ", " do "), " Dos ", " dos "), " Das ", " das ")</f>
        <v>Charlilson dos Santos Dutra</v>
      </c>
    </row>
    <row r="104" spans="9:10" ht="15.75" x14ac:dyDescent="0.25">
      <c r="I104" s="6" t="str">
        <f>SUBSTITUTE(SUBSTITUTE(SUBSTITUTE(SUBSTITUTE(SUBSTITUTE(dados_coletados!Z102, " Da ", " da "), " De ", " de "), " Do ", " do "), " Dos ", " dos "), " Das ", " das ")</f>
        <v>Elilde Mendes da Silva</v>
      </c>
      <c r="J104" s="6" t="str">
        <f>SUBSTITUTE(SUBSTITUTE(SUBSTITUTE(SUBSTITUTE(SUBSTITUTE(dados_coletados!AA102, " Da ", " da "), " De ", " de "), " Do ", " do "), " Dos ", " dos "), " Das ", " das ")</f>
        <v>Wilton de Assuncao Bezerra</v>
      </c>
    </row>
    <row r="105" spans="9:10" ht="15.75" x14ac:dyDescent="0.25">
      <c r="I105" s="6" t="str">
        <f>SUBSTITUTE(SUBSTITUTE(SUBSTITUTE(SUBSTITUTE(SUBSTITUTE(dados_coletados!Z103, " Da ", " da "), " De ", " de "), " Do ", " do "), " Dos ", " dos "), " Das ", " das ")</f>
        <v>Cleuciane Lira Coutinho Ribeiro</v>
      </c>
      <c r="J105" s="6" t="str">
        <f>SUBSTITUTE(SUBSTITUTE(SUBSTITUTE(SUBSTITUTE(SUBSTITUTE(dados_coletados!AA103, " Da ", " da "), " De ", " de "), " Do ", " do "), " Dos ", " dos "), " Das ", " das ")</f>
        <v>Alexandre Costa Ribeiro</v>
      </c>
    </row>
    <row r="106" spans="9:10" ht="15.75" x14ac:dyDescent="0.25">
      <c r="I106" s="6" t="str">
        <f>SUBSTITUTE(SUBSTITUTE(SUBSTITUTE(SUBSTITUTE(SUBSTITUTE(dados_coletados!Z104, " Da ", " da "), " De ", " de "), " Do ", " do "), " Dos ", " dos "), " Das ", " das ")</f>
        <v>Flávia Silva Gonçalves</v>
      </c>
      <c r="J106" s="6" t="str">
        <f>SUBSTITUTE(SUBSTITUTE(SUBSTITUTE(SUBSTITUTE(SUBSTITUTE(dados_coletados!AA104, " Da ", " da "), " De ", " de "), " Do ", " do "), " Dos ", " dos "), " Das ", " das ")</f>
        <v>José Sergio Brandão Gonçalves</v>
      </c>
    </row>
    <row r="107" spans="9:10" ht="15.75" x14ac:dyDescent="0.25">
      <c r="I107" s="6" t="str">
        <f>SUBSTITUTE(SUBSTITUTE(SUBSTITUTE(SUBSTITUTE(SUBSTITUTE(dados_coletados!Z105, " Da ", " da "), " De ", " de "), " Do ", " do "), " Dos ", " dos "), " Das ", " das ")</f>
        <v>Ana Caroline Cunha do Nascimento de Sã</v>
      </c>
      <c r="J107" s="6" t="str">
        <f>SUBSTITUTE(SUBSTITUTE(SUBSTITUTE(SUBSTITUTE(SUBSTITUTE(dados_coletados!AA105, " Da ", " da "), " De ", " de "), " Do ", " do "), " Dos ", " dos "), " Das ", " das ")</f>
        <v>Marcos Aurelio Licar de Sã</v>
      </c>
    </row>
    <row r="108" spans="9:10" ht="15.75" x14ac:dyDescent="0.25">
      <c r="I108" s="6" t="str">
        <f>SUBSTITUTE(SUBSTITUTE(SUBSTITUTE(SUBSTITUTE(SUBSTITUTE(dados_coletados!Z106, " Da ", " da "), " De ", " de "), " Do ", " do "), " Dos ", " dos "), " Das ", " das ")</f>
        <v>Laysses dos Reis da Conceição</v>
      </c>
      <c r="J108" s="6" t="str">
        <f>SUBSTITUTE(SUBSTITUTE(SUBSTITUTE(SUBSTITUTE(SUBSTITUTE(dados_coletados!AA106, " Da ", " da "), " De ", " de "), " Do ", " do "), " Dos ", " dos "), " Das ", " das ")</f>
        <v>Orlando de Azevedo Filho</v>
      </c>
    </row>
    <row r="109" spans="9:10" ht="15.75" x14ac:dyDescent="0.25">
      <c r="I109" s="6" t="str">
        <f>SUBSTITUTE(SUBSTITUTE(SUBSTITUTE(SUBSTITUTE(SUBSTITUTE(dados_coletados!Z107, " Da ", " da "), " De ", " de "), " Do ", " do "), " Dos ", " dos "), " Das ", " das ")</f>
        <v>Josiane Teixeira Ferreira</v>
      </c>
      <c r="J109" s="6" t="str">
        <f>SUBSTITUTE(SUBSTITUTE(SUBSTITUTE(SUBSTITUTE(SUBSTITUTE(dados_coletados!AA107, " Da ", " da "), " De ", " de "), " Do ", " do "), " Dos ", " dos "), " Das ", " das ")</f>
        <v>Leandro Oliveira do Espirito Santo</v>
      </c>
    </row>
    <row r="110" spans="9:10" ht="15.75" x14ac:dyDescent="0.25">
      <c r="I110" s="6" t="str">
        <f>SUBSTITUTE(SUBSTITUTE(SUBSTITUTE(SUBSTITUTE(SUBSTITUTE(dados_coletados!Z108, " Da ", " da "), " De ", " de "), " Do ", " do "), " Dos ", " dos "), " Das ", " das ")</f>
        <v>Maria Cleide Lisboa da Silva</v>
      </c>
      <c r="J110" s="6" t="str">
        <f>SUBSTITUTE(SUBSTITUTE(SUBSTITUTE(SUBSTITUTE(SUBSTITUTE(dados_coletados!AA108, " Da ", " da "), " De ", " de "), " Do ", " do "), " Dos ", " dos "), " Das ", " das ")</f>
        <v>Wagner Lopes de Oliveira</v>
      </c>
    </row>
    <row r="111" spans="9:10" ht="15.75" x14ac:dyDescent="0.25">
      <c r="I111" s="6" t="str">
        <f>SUBSTITUTE(SUBSTITUTE(SUBSTITUTE(SUBSTITUTE(SUBSTITUTE(dados_coletados!Z109, " Da ", " da "), " De ", " de "), " Do ", " do "), " Dos ", " dos "), " Das ", " das ")</f>
        <v>Katia Solange Lemos Viegas</v>
      </c>
      <c r="J111" s="6" t="str">
        <f>SUBSTITUTE(SUBSTITUTE(SUBSTITUTE(SUBSTITUTE(SUBSTITUTE(dados_coletados!AA109, " Da ", " da "), " De ", " de "), " Do ", " do "), " Dos ", " dos "), " Das ", " das ")</f>
        <v>Helder Guilherme da Silva Sousa</v>
      </c>
    </row>
    <row r="112" spans="9:10" ht="15.75" x14ac:dyDescent="0.25">
      <c r="I112" s="6" t="str">
        <f>SUBSTITUTE(SUBSTITUTE(SUBSTITUTE(SUBSTITUTE(SUBSTITUTE(dados_coletados!Z110, " Da ", " da "), " De ", " de "), " Do ", " do "), " Dos ", " dos "), " Das ", " das ")</f>
        <v>Helenilza Carvalho da Silva</v>
      </c>
      <c r="J112" s="6" t="str">
        <f>SUBSTITUTE(SUBSTITUTE(SUBSTITUTE(SUBSTITUTE(SUBSTITUTE(dados_coletados!AA110, " Da ", " da "), " De ", " de "), " Do ", " do "), " Dos ", " dos "), " Das ", " das ")</f>
        <v>Jonilson Dias Brito</v>
      </c>
    </row>
    <row r="113" spans="9:10" ht="15.75" x14ac:dyDescent="0.25">
      <c r="I113" s="6" t="str">
        <f>SUBSTITUTE(SUBSTITUTE(SUBSTITUTE(SUBSTITUTE(SUBSTITUTE(dados_coletados!Z111, " Da ", " da "), " De ", " de "), " Do ", " do "), " Dos ", " dos "), " Das ", " das ")</f>
        <v>Hilma Martins dos Santos</v>
      </c>
      <c r="J113" s="6" t="str">
        <f>SUBSTITUTE(SUBSTITUTE(SUBSTITUTE(SUBSTITUTE(SUBSTITUTE(dados_coletados!AA111, " Da ", " da "), " De ", " de "), " Do ", " do "), " Dos ", " dos "), " Das ", " das ")</f>
        <v>Gerardo da Costa Soares</v>
      </c>
    </row>
    <row r="114" spans="9:10" ht="15.75" x14ac:dyDescent="0.25">
      <c r="I114" s="6" t="str">
        <f>SUBSTITUTE(SUBSTITUTE(SUBSTITUTE(SUBSTITUTE(SUBSTITUTE(dados_coletados!Z112, " Da ", " da "), " De ", " de "), " Do ", " do "), " Dos ", " dos "), " Das ", " das ")</f>
        <v>Dilma Alves</v>
      </c>
      <c r="J114" s="6" t="str">
        <f>SUBSTITUTE(SUBSTITUTE(SUBSTITUTE(SUBSTITUTE(SUBSTITUTE(dados_coletados!AA112, " Da ", " da "), " De ", " de "), " Do ", " do "), " Dos ", " dos "), " Das ", " das ")</f>
        <v/>
      </c>
    </row>
    <row r="115" spans="9:10" ht="15.75" x14ac:dyDescent="0.25">
      <c r="I115" s="6" t="str">
        <f>SUBSTITUTE(SUBSTITUTE(SUBSTITUTE(SUBSTITUTE(SUBSTITUTE(dados_coletados!Z113, " Da ", " da "), " De ", " de "), " Do ", " do "), " Dos ", " dos "), " Das ", " das ")</f>
        <v>Dayana Fernanda Sousa Pinto</v>
      </c>
      <c r="J115" s="6" t="str">
        <f>SUBSTITUTE(SUBSTITUTE(SUBSTITUTE(SUBSTITUTE(SUBSTITUTE(dados_coletados!AA113, " Da ", " da "), " De ", " de "), " Do ", " do "), " Dos ", " dos "), " Das ", " das ")</f>
        <v>Emanuel Jhonatas de Oliveira Lima</v>
      </c>
    </row>
    <row r="116" spans="9:10" ht="15.75" x14ac:dyDescent="0.25">
      <c r="I116" s="6" t="str">
        <f>SUBSTITUTE(SUBSTITUTE(SUBSTITUTE(SUBSTITUTE(SUBSTITUTE(dados_coletados!Z114, " Da ", " da "), " De ", " de "), " Do ", " do "), " Dos ", " dos "), " Das ", " das ")</f>
        <v>Joseane Neves Ferreira</v>
      </c>
      <c r="J116" s="6" t="str">
        <f>SUBSTITUTE(SUBSTITUTE(SUBSTITUTE(SUBSTITUTE(SUBSTITUTE(dados_coletados!AA114, " Da ", " da "), " De ", " de "), " Do ", " do "), " Dos ", " dos "), " Das ", " das ")</f>
        <v>Carlos Magno Machado Pinto</v>
      </c>
    </row>
    <row r="117" spans="9:10" ht="15.75" x14ac:dyDescent="0.25">
      <c r="I117" s="6" t="str">
        <f>SUBSTITUTE(SUBSTITUTE(SUBSTITUTE(SUBSTITUTE(SUBSTITUTE(dados_coletados!Z115, " Da ", " da "), " De ", " de "), " Do ", " do "), " Dos ", " dos "), " Das ", " das ")</f>
        <v>Rosenilde Lopes do Nascimento</v>
      </c>
      <c r="J117" s="6" t="str">
        <f>SUBSTITUTE(SUBSTITUTE(SUBSTITUTE(SUBSTITUTE(SUBSTITUTE(dados_coletados!AA115, " Da ", " da "), " De ", " de "), " Do ", " do "), " Dos ", " dos "), " Das ", " das ")</f>
        <v/>
      </c>
    </row>
    <row r="118" spans="9:10" ht="15.75" x14ac:dyDescent="0.25">
      <c r="I118" s="6" t="str">
        <f>SUBSTITUTE(SUBSTITUTE(SUBSTITUTE(SUBSTITUTE(SUBSTITUTE(dados_coletados!Z116, " Da ", " da "), " De ", " de "), " Do ", " do "), " Dos ", " dos "), " Das ", " das ")</f>
        <v>Nancy de Oliveira Pinto</v>
      </c>
      <c r="J118" s="6" t="str">
        <f>SUBSTITUTE(SUBSTITUTE(SUBSTITUTE(SUBSTITUTE(SUBSTITUTE(dados_coletados!AA116, " Da ", " da "), " De ", " de "), " Do ", " do "), " Dos ", " dos "), " Das ", " das ")</f>
        <v>João Paulo de Araujo Pinto</v>
      </c>
    </row>
    <row r="119" spans="9:10" ht="15.75" x14ac:dyDescent="0.25">
      <c r="I119" s="6" t="str">
        <f>SUBSTITUTE(SUBSTITUTE(SUBSTITUTE(SUBSTITUTE(SUBSTITUTE(dados_coletados!Z117, " Da ", " da "), " De ", " de "), " Do ", " do "), " Dos ", " dos "), " Das ", " das ")</f>
        <v>Marta Melo Batista</v>
      </c>
      <c r="J119" s="6" t="str">
        <f>SUBSTITUTE(SUBSTITUTE(SUBSTITUTE(SUBSTITUTE(SUBSTITUTE(dados_coletados!AA117, " Da ", " da "), " De ", " de "), " Do ", " do "), " Dos ", " dos "), " Das ", " das ")</f>
        <v/>
      </c>
    </row>
    <row r="120" spans="9:10" ht="15.75" x14ac:dyDescent="0.25">
      <c r="I120" s="6" t="str">
        <f>SUBSTITUTE(SUBSTITUTE(SUBSTITUTE(SUBSTITUTE(SUBSTITUTE(dados_coletados!Z118, " Da ", " da "), " De ", " de "), " Do ", " do "), " Dos ", " dos "), " Das ", " das ")</f>
        <v>Marcia Gorete Lisboa Sa</v>
      </c>
      <c r="J120" s="6" t="str">
        <f>SUBSTITUTE(SUBSTITUTE(SUBSTITUTE(SUBSTITUTE(SUBSTITUTE(dados_coletados!AA118, " Da ", " da "), " De ", " de "), " Do ", " do "), " Dos ", " dos "), " Das ", " das ")</f>
        <v>Manoel Fernandes Sousa</v>
      </c>
    </row>
    <row r="121" spans="9:10" ht="15.75" x14ac:dyDescent="0.25">
      <c r="I121" s="6" t="str">
        <f>SUBSTITUTE(SUBSTITUTE(SUBSTITUTE(SUBSTITUTE(SUBSTITUTE(dados_coletados!Z119, " Da ", " da "), " De ", " de "), " Do ", " do "), " Dos ", " dos "), " Das ", " das ")</f>
        <v>Isadora de Vasconcelos Lopes</v>
      </c>
      <c r="J121" s="6" t="str">
        <f>SUBSTITUTE(SUBSTITUTE(SUBSTITUTE(SUBSTITUTE(SUBSTITUTE(dados_coletados!AA119, " Da ", " da "), " De ", " de "), " Do ", " do "), " Dos ", " dos "), " Das ", " das ")</f>
        <v>Bernardo Pereira da Rocha</v>
      </c>
    </row>
    <row r="122" spans="9:10" ht="15.75" x14ac:dyDescent="0.25">
      <c r="I122" s="6" t="str">
        <f>SUBSTITUTE(SUBSTITUTE(SUBSTITUTE(SUBSTITUTE(SUBSTITUTE(dados_coletados!Z120, " Da ", " da "), " De ", " de "), " Do ", " do "), " Dos ", " dos "), " Das ", " das ")</f>
        <v>Edivania Freire Lima</v>
      </c>
      <c r="J122" s="6" t="str">
        <f>SUBSTITUTE(SUBSTITUTE(SUBSTITUTE(SUBSTITUTE(SUBSTITUTE(dados_coletados!AA120, " Da ", " da "), " De ", " de "), " Do ", " do "), " Dos ", " dos "), " Das ", " das ")</f>
        <v>Elson Adriano Silva dos Santos</v>
      </c>
    </row>
    <row r="123" spans="9:10" ht="15.75" x14ac:dyDescent="0.25">
      <c r="I123" s="6" t="str">
        <f>SUBSTITUTE(SUBSTITUTE(SUBSTITUTE(SUBSTITUTE(SUBSTITUTE(dados_coletados!Z121, " Da ", " da "), " De ", " de "), " Do ", " do "), " Dos ", " dos "), " Das ", " das ")</f>
        <v>Heliziane Lima da Silva</v>
      </c>
      <c r="J123" s="6" t="str">
        <f>SUBSTITUTE(SUBSTITUTE(SUBSTITUTE(SUBSTITUTE(SUBSTITUTE(dados_coletados!AA121, " Da ", " da "), " De ", " de "), " Do ", " do "), " Dos ", " dos "), " Das ", " das ")</f>
        <v>Marcelo da Silva Gomes</v>
      </c>
    </row>
    <row r="124" spans="9:10" ht="15.75" x14ac:dyDescent="0.25">
      <c r="I124" s="6" t="str">
        <f>SUBSTITUTE(SUBSTITUTE(SUBSTITUTE(SUBSTITUTE(SUBSTITUTE(dados_coletados!Z122, " Da ", " da "), " De ", " de "), " Do ", " do "), " Dos ", " dos "), " Das ", " das ")</f>
        <v>Iane Saldanha Pontes</v>
      </c>
      <c r="J124" s="6" t="str">
        <f>SUBSTITUTE(SUBSTITUTE(SUBSTITUTE(SUBSTITUTE(SUBSTITUTE(dados_coletados!AA122, " Da ", " da "), " De ", " de "), " Do ", " do "), " Dos ", " dos "), " Das ", " das ")</f>
        <v>Elenilton Choairy Ferraz</v>
      </c>
    </row>
    <row r="125" spans="9:10" ht="15.75" x14ac:dyDescent="0.25">
      <c r="I125" s="6" t="str">
        <f>SUBSTITUTE(SUBSTITUTE(SUBSTITUTE(SUBSTITUTE(SUBSTITUTE(dados_coletados!Z123, " Da ", " da "), " De ", " de "), " Do ", " do "), " Dos ", " dos "), " Das ", " das ")</f>
        <v>Izaura Salome Oliveira Damascena</v>
      </c>
      <c r="J125" s="6" t="str">
        <f>SUBSTITUTE(SUBSTITUTE(SUBSTITUTE(SUBSTITUTE(SUBSTITUTE(dados_coletados!AA123, " Da ", " da "), " De ", " de "), " Do ", " do "), " Dos ", " dos "), " Das ", " das ")</f>
        <v>Fagner de Macedo Damascena</v>
      </c>
    </row>
    <row r="126" spans="9:10" ht="15.75" x14ac:dyDescent="0.25">
      <c r="I126" s="6" t="str">
        <f>SUBSTITUTE(SUBSTITUTE(SUBSTITUTE(SUBSTITUTE(SUBSTITUTE(dados_coletados!Z124, " Da ", " da "), " De ", " de "), " Do ", " do "), " Dos ", " dos "), " Das ", " das ")</f>
        <v>Luziane Correia Franca</v>
      </c>
      <c r="J126" s="6" t="str">
        <f>SUBSTITUTE(SUBSTITUTE(SUBSTITUTE(SUBSTITUTE(SUBSTITUTE(dados_coletados!AA124, " Da ", " da "), " De ", " de "), " Do ", " do "), " Dos ", " dos "), " Das ", " das ")</f>
        <v>Teones Cantanhede</v>
      </c>
    </row>
    <row r="127" spans="9:10" ht="15.75" x14ac:dyDescent="0.25">
      <c r="I127" s="6" t="str">
        <f>SUBSTITUTE(SUBSTITUTE(SUBSTITUTE(SUBSTITUTE(SUBSTITUTE(dados_coletados!Z125, " Da ", " da "), " De ", " de "), " Do ", " do "), " Dos ", " dos "), " Das ", " das ")</f>
        <v>Marilene Costa Sousa</v>
      </c>
      <c r="J127" s="6" t="str">
        <f>SUBSTITUTE(SUBSTITUTE(SUBSTITUTE(SUBSTITUTE(SUBSTITUTE(dados_coletados!AA125, " Da ", " da "), " De ", " de "), " Do ", " do "), " Dos ", " dos "), " Das ", " das ")</f>
        <v>Limarcos Marques da Silva</v>
      </c>
    </row>
    <row r="128" spans="9:10" ht="15.75" x14ac:dyDescent="0.25">
      <c r="I128" s="6" t="str">
        <f>SUBSTITUTE(SUBSTITUTE(SUBSTITUTE(SUBSTITUTE(SUBSTITUTE(dados_coletados!Z126, " Da ", " da "), " De ", " de "), " Do ", " do "), " Dos ", " dos "), " Das ", " das ")</f>
        <v>Adriana Kellen de Jesus Correia</v>
      </c>
      <c r="J128" s="6" t="str">
        <f>SUBSTITUTE(SUBSTITUTE(SUBSTITUTE(SUBSTITUTE(SUBSTITUTE(dados_coletados!AA126, " Da ", " da "), " De ", " de "), " Do ", " do "), " Dos ", " dos "), " Das ", " das ")</f>
        <v>Paulo Ricardo Pereira da Silva</v>
      </c>
    </row>
    <row r="129" spans="9:10" ht="15.75" x14ac:dyDescent="0.25">
      <c r="I129" s="6" t="str">
        <f>SUBSTITUTE(SUBSTITUTE(SUBSTITUTE(SUBSTITUTE(SUBSTITUTE(dados_coletados!Z127, " Da ", " da "), " De ", " de "), " Do ", " do "), " Dos ", " dos "), " Das ", " das ")</f>
        <v>Maria da Conceição dos Santos Soares</v>
      </c>
      <c r="J129" s="6" t="str">
        <f>SUBSTITUTE(SUBSTITUTE(SUBSTITUTE(SUBSTITUTE(SUBSTITUTE(dados_coletados!AA127, " Da ", " da "), " De ", " de "), " Do ", " do "), " Dos ", " dos "), " Das ", " das ")</f>
        <v>Ivanildo Firmino da Conceição</v>
      </c>
    </row>
    <row r="130" spans="9:10" ht="15.75" x14ac:dyDescent="0.25">
      <c r="I130" s="6" t="str">
        <f>SUBSTITUTE(SUBSTITUTE(SUBSTITUTE(SUBSTITUTE(SUBSTITUTE(dados_coletados!Z128, " Da ", " da "), " De ", " de "), " Do ", " do "), " Dos ", " dos "), " Das ", " das ")</f>
        <v>Sueny Maria Aguiar Barbosa</v>
      </c>
      <c r="J130" s="6" t="str">
        <f>SUBSTITUTE(SUBSTITUTE(SUBSTITUTE(SUBSTITUTE(SUBSTITUTE(dados_coletados!AA128, " Da ", " da "), " De ", " de "), " Do ", " do "), " Dos ", " dos "), " Das ", " das ")</f>
        <v>Jean Carlos Silva Boaes</v>
      </c>
    </row>
    <row r="131" spans="9:10" ht="15.75" x14ac:dyDescent="0.25">
      <c r="I131" s="6" t="str">
        <f>SUBSTITUTE(SUBSTITUTE(SUBSTITUTE(SUBSTITUTE(SUBSTITUTE(dados_coletados!Z129, " Da ", " da "), " De ", " de "), " Do ", " do "), " Dos ", " dos "), " Das ", " das ")</f>
        <v>Wenna Lopes Silva</v>
      </c>
      <c r="J131" s="6" t="str">
        <f>SUBSTITUTE(SUBSTITUTE(SUBSTITUTE(SUBSTITUTE(SUBSTITUTE(dados_coletados!AA129, " Da ", " da "), " De ", " de "), " Do ", " do "), " Dos ", " dos "), " Das ", " das ")</f>
        <v>Tiago Moraes Lima dos Santos</v>
      </c>
    </row>
    <row r="132" spans="9:10" ht="15.75" x14ac:dyDescent="0.25">
      <c r="I132" s="6" t="str">
        <f>SUBSTITUTE(SUBSTITUTE(SUBSTITUTE(SUBSTITUTE(SUBSTITUTE(dados_coletados!Z130, " Da ", " da "), " De ", " de "), " Do ", " do "), " Dos ", " dos "), " Das ", " das ")</f>
        <v>Neusa Maria Santos da Silva</v>
      </c>
      <c r="J132" s="6" t="str">
        <f>SUBSTITUTE(SUBSTITUTE(SUBSTITUTE(SUBSTITUTE(SUBSTITUTE(dados_coletados!AA130, " Da ", " da "), " De ", " de "), " Do ", " do "), " Dos ", " dos "), " Das ", " das ")</f>
        <v>Josimiel Jorge da Silva</v>
      </c>
    </row>
    <row r="133" spans="9:10" ht="15.75" x14ac:dyDescent="0.25">
      <c r="I133" s="6" t="str">
        <f>SUBSTITUTE(SUBSTITUTE(SUBSTITUTE(SUBSTITUTE(SUBSTITUTE(dados_coletados!Z131, " Da ", " da "), " De ", " de "), " Do ", " do "), " Dos ", " dos "), " Das ", " das ")</f>
        <v>Juanilde Vieira Maranhão</v>
      </c>
      <c r="J133" s="6" t="str">
        <f>SUBSTITUTE(SUBSTITUTE(SUBSTITUTE(SUBSTITUTE(SUBSTITUTE(dados_coletados!AA131, " Da ", " da "), " De ", " de "), " Do ", " do "), " Dos ", " dos "), " Das ", " das ")</f>
        <v>William Moreno Lago</v>
      </c>
    </row>
    <row r="134" spans="9:10" ht="15.75" x14ac:dyDescent="0.25">
      <c r="I134" s="6" t="str">
        <f>SUBSTITUTE(SUBSTITUTE(SUBSTITUTE(SUBSTITUTE(SUBSTITUTE(dados_coletados!Z132, " Da ", " da "), " De ", " de "), " Do ", " do "), " Dos ", " dos "), " Das ", " das ")</f>
        <v>Maria Antonia Pereira de Araujo</v>
      </c>
      <c r="J134" s="6" t="str">
        <f>SUBSTITUTE(SUBSTITUTE(SUBSTITUTE(SUBSTITUTE(SUBSTITUTE(dados_coletados!AA132, " Da ", " da "), " De ", " de "), " Do ", " do "), " Dos ", " dos "), " Das ", " das ")</f>
        <v>Antonio Luis Santos Rodrigues</v>
      </c>
    </row>
    <row r="135" spans="9:10" ht="15.75" x14ac:dyDescent="0.25">
      <c r="I135" s="6" t="str">
        <f>SUBSTITUTE(SUBSTITUTE(SUBSTITUTE(SUBSTITUTE(SUBSTITUTE(dados_coletados!Z133, " Da ", " da "), " De ", " de "), " Do ", " do "), " Dos ", " dos "), " Das ", " das ")</f>
        <v>Keila Maria Sousa Rocha</v>
      </c>
      <c r="J135" s="6" t="str">
        <f>SUBSTITUTE(SUBSTITUTE(SUBSTITUTE(SUBSTITUTE(SUBSTITUTE(dados_coletados!AA133, " Da ", " da "), " De ", " de "), " Do ", " do "), " Dos ", " dos "), " Das ", " das ")</f>
        <v>Romulo de Almeida Barros</v>
      </c>
    </row>
    <row r="136" spans="9:10" ht="15.75" x14ac:dyDescent="0.25">
      <c r="I136" s="6" t="str">
        <f>SUBSTITUTE(SUBSTITUTE(SUBSTITUTE(SUBSTITUTE(SUBSTITUTE(dados_coletados!Z134, " Da ", " da "), " De ", " de "), " Do ", " do "), " Dos ", " dos "), " Das ", " das ")</f>
        <v>Andreia Nogueira Santos</v>
      </c>
      <c r="J136" s="6" t="str">
        <f>SUBSTITUTE(SUBSTITUTE(SUBSTITUTE(SUBSTITUTE(SUBSTITUTE(dados_coletados!AA134, " Da ", " da "), " De ", " de "), " Do ", " do "), " Dos ", " dos "), " Das ", " das ")</f>
        <v>Francisco de Jesus Mendes Sousa</v>
      </c>
    </row>
    <row r="137" spans="9:10" ht="15.75" x14ac:dyDescent="0.25">
      <c r="I137" s="6" t="str">
        <f>SUBSTITUTE(SUBSTITUTE(SUBSTITUTE(SUBSTITUTE(SUBSTITUTE(dados_coletados!Z135, " Da ", " da "), " De ", " de "), " Do ", " do "), " Dos ", " dos "), " Das ", " das ")</f>
        <v>Simone Tereza da Neves</v>
      </c>
      <c r="J137" s="6" t="str">
        <f>SUBSTITUTE(SUBSTITUTE(SUBSTITUTE(SUBSTITUTE(SUBSTITUTE(dados_coletados!AA135, " Da ", " da "), " De ", " de "), " Do ", " do "), " Dos ", " dos "), " Das ", " das ")</f>
        <v>José Mauro Castro Corvelo Junior</v>
      </c>
    </row>
    <row r="138" spans="9:10" ht="15.75" x14ac:dyDescent="0.25">
      <c r="I138" s="6" t="str">
        <f>SUBSTITUTE(SUBSTITUTE(SUBSTITUTE(SUBSTITUTE(SUBSTITUTE(dados_coletados!Z136, " Da ", " da "), " De ", " de "), " Do ", " do "), " Dos ", " dos "), " Das ", " das ")</f>
        <v>Iralice Silva Mourao</v>
      </c>
      <c r="J138" s="6" t="str">
        <f>SUBSTITUTE(SUBSTITUTE(SUBSTITUTE(SUBSTITUTE(SUBSTITUTE(dados_coletados!AA136, " Da ", " da "), " De ", " de "), " Do ", " do "), " Dos ", " dos "), " Das ", " das ")</f>
        <v>Aliomar Barros de Oliveira</v>
      </c>
    </row>
    <row r="139" spans="9:10" ht="15.75" x14ac:dyDescent="0.25">
      <c r="I139" s="6" t="str">
        <f>SUBSTITUTE(SUBSTITUTE(SUBSTITUTE(SUBSTITUTE(SUBSTITUTE(dados_coletados!Z137, " Da ", " da "), " De ", " de "), " Do ", " do "), " Dos ", " dos "), " Das ", " das ")</f>
        <v>Elcie Millena Gomes de Sousa Soares</v>
      </c>
      <c r="J139" s="6" t="str">
        <f>SUBSTITUTE(SUBSTITUTE(SUBSTITUTE(SUBSTITUTE(SUBSTITUTE(dados_coletados!AA137, " Da ", " da "), " De ", " de "), " Do ", " do "), " Dos ", " dos "), " Das ", " das ")</f>
        <v>Joao Batista Soares Junior</v>
      </c>
    </row>
    <row r="140" spans="9:10" ht="15.75" x14ac:dyDescent="0.25">
      <c r="I140" s="6" t="str">
        <f>SUBSTITUTE(SUBSTITUTE(SUBSTITUTE(SUBSTITUTE(SUBSTITUTE(dados_coletados!Z138, " Da ", " da "), " De ", " de "), " Do ", " do "), " Dos ", " dos "), " Das ", " das ")</f>
        <v>Cristiane Luz Santiago</v>
      </c>
      <c r="J140" s="6" t="str">
        <f>SUBSTITUTE(SUBSTITUTE(SUBSTITUTE(SUBSTITUTE(SUBSTITUTE(dados_coletados!AA138, " Da ", " da "), " De ", " de "), " Do ", " do "), " Dos ", " dos "), " Das ", " das ")</f>
        <v>Pedro Alexandrino Carvalho Santiago Junior</v>
      </c>
    </row>
    <row r="141" spans="9:10" ht="15.75" x14ac:dyDescent="0.25">
      <c r="I141" s="6" t="str">
        <f>SUBSTITUTE(SUBSTITUTE(SUBSTITUTE(SUBSTITUTE(SUBSTITUTE(dados_coletados!Z139, " Da ", " da "), " De ", " de "), " Do ", " do "), " Dos ", " dos "), " Das ", " das ")</f>
        <v>Ingrid Passos</v>
      </c>
      <c r="J141" s="6" t="str">
        <f>SUBSTITUTE(SUBSTITUTE(SUBSTITUTE(SUBSTITUTE(SUBSTITUTE(dados_coletados!AA139, " Da ", " da "), " De ", " de "), " Do ", " do "), " Dos ", " dos "), " Das ", " das ")</f>
        <v>Jose Mendes Filho</v>
      </c>
    </row>
    <row r="142" spans="9:10" ht="15.75" x14ac:dyDescent="0.25">
      <c r="I142" s="6" t="str">
        <f>SUBSTITUTE(SUBSTITUTE(SUBSTITUTE(SUBSTITUTE(SUBSTITUTE(dados_coletados!Z140, " Da ", " da "), " De ", " de "), " Do ", " do "), " Dos ", " dos "), " Das ", " das ")</f>
        <v>Luciane Gomes Silva</v>
      </c>
      <c r="J142" s="6" t="str">
        <f>SUBSTITUTE(SUBSTITUTE(SUBSTITUTE(SUBSTITUTE(SUBSTITUTE(dados_coletados!AA140, " Da ", " da "), " De ", " de "), " Do ", " do "), " Dos ", " dos "), " Das ", " das ")</f>
        <v>Geovane de Assis Araujo Pereira</v>
      </c>
    </row>
    <row r="143" spans="9:10" ht="15.75" x14ac:dyDescent="0.25">
      <c r="I143" s="6" t="str">
        <f>SUBSTITUTE(SUBSTITUTE(SUBSTITUTE(SUBSTITUTE(SUBSTITUTE(dados_coletados!Z141, " Da ", " da "), " De ", " de "), " Do ", " do "), " Dos ", " dos "), " Das ", " das ")</f>
        <v>Andressa Polyana Costa Vale</v>
      </c>
      <c r="J143" s="6" t="str">
        <f>SUBSTITUTE(SUBSTITUTE(SUBSTITUTE(SUBSTITUTE(SUBSTITUTE(dados_coletados!AA141, " Da ", " da "), " De ", " de "), " Do ", " do "), " Dos ", " dos "), " Das ", " das ")</f>
        <v>Wille Leonardo dos Santos de Oliveira</v>
      </c>
    </row>
    <row r="144" spans="9:10" ht="15.75" x14ac:dyDescent="0.25">
      <c r="I144" s="6" t="str">
        <f>SUBSTITUTE(SUBSTITUTE(SUBSTITUTE(SUBSTITUTE(SUBSTITUTE(dados_coletados!Z142, " Da ", " da "), " De ", " de "), " Do ", " do "), " Dos ", " dos "), " Das ", " das ")</f>
        <v>Maria Aparecida dos Santos</v>
      </c>
      <c r="J144" s="6" t="str">
        <f>SUBSTITUTE(SUBSTITUTE(SUBSTITUTE(SUBSTITUTE(SUBSTITUTE(dados_coletados!AA142, " Da ", " da "), " De ", " de "), " Do ", " do "), " Dos ", " dos "), " Das ", " das ")</f>
        <v>Thiago Deyvid de Assis Tavares</v>
      </c>
    </row>
    <row r="145" spans="9:10" ht="15.75" x14ac:dyDescent="0.25">
      <c r="I145" s="6" t="str">
        <f>SUBSTITUTE(SUBSTITUTE(SUBSTITUTE(SUBSTITUTE(SUBSTITUTE(dados_coletados!Z143, " Da ", " da "), " De ", " de "), " Do ", " do "), " Dos ", " dos "), " Das ", " das ")</f>
        <v>Maria do Livramento Alves Machado</v>
      </c>
      <c r="J145" s="6" t="str">
        <f>SUBSTITUTE(SUBSTITUTE(SUBSTITUTE(SUBSTITUTE(SUBSTITUTE(dados_coletados!AA143, " Da ", " da "), " De ", " de "), " Do ", " do "), " Dos ", " dos "), " Das ", " das ")</f>
        <v>Jhon Michael de Sousa Machado Alves</v>
      </c>
    </row>
    <row r="146" spans="9:10" ht="15.75" x14ac:dyDescent="0.25">
      <c r="I146" s="6" t="str">
        <f>SUBSTITUTE(SUBSTITUTE(SUBSTITUTE(SUBSTITUTE(SUBSTITUTE(dados_coletados!Z144, " Da ", " da "), " De ", " de "), " Do ", " do "), " Dos ", " dos "), " Das ", " das ")</f>
        <v>Djany Suelly Martins Coelho</v>
      </c>
      <c r="J146" s="6" t="str">
        <f>SUBSTITUTE(SUBSTITUTE(SUBSTITUTE(SUBSTITUTE(SUBSTITUTE(dados_coletados!AA144, " Da ", " da "), " De ", " de "), " Do ", " do "), " Dos ", " dos "), " Das ", " das ")</f>
        <v>Marcus Basilio Bruzaca de Sousa</v>
      </c>
    </row>
    <row r="147" spans="9:10" ht="15.75" x14ac:dyDescent="0.25">
      <c r="I147" s="6" t="str">
        <f>SUBSTITUTE(SUBSTITUTE(SUBSTITUTE(SUBSTITUTE(SUBSTITUTE(dados_coletados!Z145, " Da ", " da "), " De ", " de "), " Do ", " do "), " Dos ", " dos "), " Das ", " das ")</f>
        <v>Aldineia de Jesus Martins Silva</v>
      </c>
      <c r="J147" s="6" t="str">
        <f>SUBSTITUTE(SUBSTITUTE(SUBSTITUTE(SUBSTITUTE(SUBSTITUTE(dados_coletados!AA145, " Da ", " da "), " De ", " de "), " Do ", " do "), " Dos ", " dos "), " Das ", " das ")</f>
        <v>Jose Airton da Silva Junior</v>
      </c>
    </row>
    <row r="148" spans="9:10" ht="15.75" x14ac:dyDescent="0.25">
      <c r="I148" s="6" t="str">
        <f>SUBSTITUTE(SUBSTITUTE(SUBSTITUTE(SUBSTITUTE(SUBSTITUTE(dados_coletados!Z146, " Da ", " da "), " De ", " de "), " Do ", " do "), " Dos ", " dos "), " Das ", " das ")</f>
        <v>Jailma de Araujo Almeida</v>
      </c>
      <c r="J148" s="6" t="str">
        <f>SUBSTITUTE(SUBSTITUTE(SUBSTITUTE(SUBSTITUTE(SUBSTITUTE(dados_coletados!AA146, " Da ", " da "), " De ", " de "), " Do ", " do "), " Dos ", " dos "), " Das ", " das ")</f>
        <v>Willams de Sousa Brito Dutra</v>
      </c>
    </row>
    <row r="149" spans="9:10" ht="15.75" x14ac:dyDescent="0.25">
      <c r="I149" s="6" t="str">
        <f>SUBSTITUTE(SUBSTITUTE(SUBSTITUTE(SUBSTITUTE(SUBSTITUTE(dados_coletados!Z147, " Da ", " da "), " De ", " de "), " Do ", " do "), " Dos ", " dos "), " Das ", " das ")</f>
        <v>Maria do Livramento Alves Machado</v>
      </c>
      <c r="J149" s="6" t="str">
        <f>SUBSTITUTE(SUBSTITUTE(SUBSTITUTE(SUBSTITUTE(SUBSTITUTE(dados_coletados!AA147, " Da ", " da "), " De ", " de "), " Do ", " do "), " Dos ", " dos "), " Das ", " das ")</f>
        <v>Jonh Michael Sousa Machado Alves</v>
      </c>
    </row>
    <row r="150" spans="9:10" ht="15.75" x14ac:dyDescent="0.25">
      <c r="I150" s="6" t="str">
        <f>SUBSTITUTE(SUBSTITUTE(SUBSTITUTE(SUBSTITUTE(SUBSTITUTE(dados_coletados!Z148, " Da ", " da "), " De ", " de "), " Do ", " do "), " Dos ", " dos "), " Das ", " das ")</f>
        <v>Lianka Layla Garcias Diniz</v>
      </c>
      <c r="J150" s="6" t="str">
        <f>SUBSTITUTE(SUBSTITUTE(SUBSTITUTE(SUBSTITUTE(SUBSTITUTE(dados_coletados!AA148, " Da ", " da "), " De ", " de "), " Do ", " do "), " Dos ", " dos "), " Das ", " das ")</f>
        <v>José Ribamar de Souza Oliveira</v>
      </c>
    </row>
    <row r="151" spans="9:10" ht="15.75" x14ac:dyDescent="0.25">
      <c r="I151" s="6" t="str">
        <f>SUBSTITUTE(SUBSTITUTE(SUBSTITUTE(SUBSTITUTE(SUBSTITUTE(dados_coletados!Z149, " Da ", " da "), " De ", " de "), " Do ", " do "), " Dos ", " dos "), " Das ", " das ")</f>
        <v>Flavia Regina Marques de Sousa</v>
      </c>
      <c r="J151" s="6" t="str">
        <f>SUBSTITUTE(SUBSTITUTE(SUBSTITUTE(SUBSTITUTE(SUBSTITUTE(dados_coletados!AA149, " Da ", " da "), " De ", " de "), " Do ", " do "), " Dos ", " dos "), " Das ", " das ")</f>
        <v>Luis Claudio Silva Martins</v>
      </c>
    </row>
    <row r="152" spans="9:10" ht="15.75" x14ac:dyDescent="0.25">
      <c r="I152" s="6" t="str">
        <f>SUBSTITUTE(SUBSTITUTE(SUBSTITUTE(SUBSTITUTE(SUBSTITUTE(dados_coletados!Z150, " Da ", " da "), " De ", " de "), " Do ", " do "), " Dos ", " dos "), " Das ", " das ")</f>
        <v>Jaina Dutra Ataide</v>
      </c>
      <c r="J152" s="6" t="str">
        <f>SUBSTITUTE(SUBSTITUTE(SUBSTITUTE(SUBSTITUTE(SUBSTITUTE(dados_coletados!AA150, " Da ", " da "), " De ", " de "), " Do ", " do "), " Dos ", " dos "), " Das ", " das ")</f>
        <v>Carlos Jonas Ribeiro Frazão</v>
      </c>
    </row>
    <row r="153" spans="9:10" ht="15.75" x14ac:dyDescent="0.25">
      <c r="I153" s="6" t="str">
        <f>SUBSTITUTE(SUBSTITUTE(SUBSTITUTE(SUBSTITUTE(SUBSTITUTE(dados_coletados!Z151, " Da ", " da "), " De ", " de "), " Do ", " do "), " Dos ", " dos "), " Das ", " das ")</f>
        <v>Geuzani Alves Pereira</v>
      </c>
      <c r="J153" s="6" t="str">
        <f>SUBSTITUTE(SUBSTITUTE(SUBSTITUTE(SUBSTITUTE(SUBSTITUTE(dados_coletados!AA151, " Da ", " da "), " De ", " de "), " Do ", " do "), " Dos ", " dos "), " Das ", " das ")</f>
        <v>Bildemar dos Santos Correia</v>
      </c>
    </row>
    <row r="154" spans="9:10" ht="15.75" x14ac:dyDescent="0.25">
      <c r="I154" s="6" t="str">
        <f>SUBSTITUTE(SUBSTITUTE(SUBSTITUTE(SUBSTITUTE(SUBSTITUTE(dados_coletados!Z152, " Da ", " da "), " De ", " de "), " Do ", " do "), " Dos ", " dos "), " Das ", " das ")</f>
        <v>Karuline Viegas Saraiva Ayres</v>
      </c>
      <c r="J154" s="6" t="str">
        <f>SUBSTITUTE(SUBSTITUTE(SUBSTITUTE(SUBSTITUTE(SUBSTITUTE(dados_coletados!AA152, " Da ", " da "), " De ", " de "), " Do ", " do "), " Dos ", " dos "), " Das ", " das ")</f>
        <v>Anselmo Santos Ayres</v>
      </c>
    </row>
    <row r="155" spans="9:10" ht="15.75" x14ac:dyDescent="0.25">
      <c r="I155" s="6" t="str">
        <f>SUBSTITUTE(SUBSTITUTE(SUBSTITUTE(SUBSTITUTE(SUBSTITUTE(dados_coletados!Z153, " Da ", " da "), " De ", " de "), " Do ", " do "), " Dos ", " dos "), " Das ", " das ")</f>
        <v>Conceição de Maria da Silva Barrozo</v>
      </c>
      <c r="J155" s="6" t="str">
        <f>SUBSTITUTE(SUBSTITUTE(SUBSTITUTE(SUBSTITUTE(SUBSTITUTE(dados_coletados!AA153, " Da ", " da "), " De ", " de "), " Do ", " do "), " Dos ", " dos "), " Das ", " das ")</f>
        <v>Antonio Oliveira Barbosa</v>
      </c>
    </row>
    <row r="156" spans="9:10" ht="15.75" x14ac:dyDescent="0.25">
      <c r="I156" s="6" t="str">
        <f>SUBSTITUTE(SUBSTITUTE(SUBSTITUTE(SUBSTITUTE(SUBSTITUTE(dados_coletados!Z154, " Da ", " da "), " De ", " de "), " Do ", " do "), " Dos ", " dos "), " Das ", " das ")</f>
        <v>Geuzani Alves Pereira</v>
      </c>
      <c r="J156" s="6" t="str">
        <f>SUBSTITUTE(SUBSTITUTE(SUBSTITUTE(SUBSTITUTE(SUBSTITUTE(dados_coletados!AA154, " Da ", " da "), " De ", " de "), " Do ", " do "), " Dos ", " dos "), " Das ", " das ")</f>
        <v>Bildemar dos Santos Correia</v>
      </c>
    </row>
    <row r="157" spans="9:10" ht="15.75" x14ac:dyDescent="0.25">
      <c r="I157" s="6" t="str">
        <f>SUBSTITUTE(SUBSTITUTE(SUBSTITUTE(SUBSTITUTE(SUBSTITUTE(dados_coletados!Z155, " Da ", " da "), " De ", " de "), " Do ", " do "), " Dos ", " dos "), " Das ", " das ")</f>
        <v>Kaynara Noronha Bezerra Cruz Pinto</v>
      </c>
      <c r="J157" s="6" t="str">
        <f>SUBSTITUTE(SUBSTITUTE(SUBSTITUTE(SUBSTITUTE(SUBSTITUTE(dados_coletados!AA155, " Da ", " da "), " De ", " de "), " Do ", " do "), " Dos ", " dos "), " Das ", " das ")</f>
        <v>Welton Fonseca Pinto</v>
      </c>
    </row>
    <row r="158" spans="9:10" ht="15.75" x14ac:dyDescent="0.25">
      <c r="I158" s="6" t="str">
        <f>SUBSTITUTE(SUBSTITUTE(SUBSTITUTE(SUBSTITUTE(SUBSTITUTE(dados_coletados!Z156, " Da ", " da "), " De ", " de "), " Do ", " do "), " Dos ", " dos "), " Das ", " das ")</f>
        <v>Werllane Barros Ferreira</v>
      </c>
      <c r="J158" s="6" t="str">
        <f>SUBSTITUTE(SUBSTITUTE(SUBSTITUTE(SUBSTITUTE(SUBSTITUTE(dados_coletados!AA156, " Da ", " da "), " De ", " de "), " Do ", " do "), " Dos ", " dos "), " Das ", " das ")</f>
        <v>Diego Fernando Frazao da Costa</v>
      </c>
    </row>
    <row r="159" spans="9:10" ht="15.75" x14ac:dyDescent="0.25">
      <c r="I159" s="6" t="str">
        <f>SUBSTITUTE(SUBSTITUTE(SUBSTITUTE(SUBSTITUTE(SUBSTITUTE(dados_coletados!Z157, " Da ", " da "), " De ", " de "), " Do ", " do "), " Dos ", " dos "), " Das ", " das ")</f>
        <v>Fabiane Louzeiro Correia</v>
      </c>
      <c r="J159" s="6" t="str">
        <f>SUBSTITUTE(SUBSTITUTE(SUBSTITUTE(SUBSTITUTE(SUBSTITUTE(dados_coletados!AA157, " Da ", " da "), " De ", " de "), " Do ", " do "), " Dos ", " dos "), " Das ", " das ")</f>
        <v>Jose Carlos Azevedo</v>
      </c>
    </row>
    <row r="160" spans="9:10" ht="15.75" x14ac:dyDescent="0.25">
      <c r="I160" s="6" t="str">
        <f>SUBSTITUTE(SUBSTITUTE(SUBSTITUTE(SUBSTITUTE(SUBSTITUTE(dados_coletados!Z158, " Da ", " da "), " De ", " de "), " Do ", " do "), " Dos ", " dos "), " Das ", " das ")</f>
        <v>Lucilene Santos Sousa</v>
      </c>
      <c r="J160" s="6" t="str">
        <f>SUBSTITUTE(SUBSTITUTE(SUBSTITUTE(SUBSTITUTE(SUBSTITUTE(dados_coletados!AA158, " Da ", " da "), " De ", " de "), " Do ", " do "), " Dos ", " dos "), " Das ", " das ")</f>
        <v>Samuel de Jesus Brito Filho</v>
      </c>
    </row>
    <row r="161" spans="9:10" ht="15.75" x14ac:dyDescent="0.25">
      <c r="I161" s="6" t="str">
        <f>SUBSTITUTE(SUBSTITUTE(SUBSTITUTE(SUBSTITUTE(SUBSTITUTE(dados_coletados!Z159, " Da ", " da "), " De ", " de "), " Do ", " do "), " Dos ", " dos "), " Das ", " das ")</f>
        <v>Cintia dos Santos Sousa</v>
      </c>
      <c r="J161" s="6" t="str">
        <f>SUBSTITUTE(SUBSTITUTE(SUBSTITUTE(SUBSTITUTE(SUBSTITUTE(dados_coletados!AA159, " Da ", " da "), " De ", " de "), " Do ", " do "), " Dos ", " dos "), " Das ", " das ")</f>
        <v>Lucas Pinto Soares</v>
      </c>
    </row>
    <row r="162" spans="9:10" ht="15.75" x14ac:dyDescent="0.25">
      <c r="I162" s="6" t="str">
        <f>SUBSTITUTE(SUBSTITUTE(SUBSTITUTE(SUBSTITUTE(SUBSTITUTE(dados_coletados!Z160, " Da ", " da "), " De ", " de "), " Do ", " do "), " Dos ", " dos "), " Das ", " das ")</f>
        <v>Arlene Bezerra Enes</v>
      </c>
      <c r="J162" s="6" t="str">
        <f>SUBSTITUTE(SUBSTITUTE(SUBSTITUTE(SUBSTITUTE(SUBSTITUTE(dados_coletados!AA160, " Da ", " da "), " De ", " de "), " Do ", " do "), " Dos ", " dos "), " Das ", " das ")</f>
        <v>Neuton Muniz</v>
      </c>
    </row>
    <row r="163" spans="9:10" ht="15.75" x14ac:dyDescent="0.25">
      <c r="I163" s="6" t="str">
        <f>SUBSTITUTE(SUBSTITUTE(SUBSTITUTE(SUBSTITUTE(SUBSTITUTE(dados_coletados!Z161, " Da ", " da "), " De ", " de "), " Do ", " do "), " Dos ", " dos "), " Das ", " das ")</f>
        <v>Deborah Fernanda Brito Perna dos Santos</v>
      </c>
      <c r="J163" s="6" t="str">
        <f>SUBSTITUTE(SUBSTITUTE(SUBSTITUTE(SUBSTITUTE(SUBSTITUTE(dados_coletados!AA161, " Da ", " da "), " De ", " de "), " Do ", " do "), " Dos ", " dos "), " Das ", " das ")</f>
        <v>José Bento Pinheiro dos Santos Junior</v>
      </c>
    </row>
    <row r="164" spans="9:10" ht="15.75" x14ac:dyDescent="0.25">
      <c r="I164" s="6" t="str">
        <f>SUBSTITUTE(SUBSTITUTE(SUBSTITUTE(SUBSTITUTE(SUBSTITUTE(dados_coletados!Z162, " Da ", " da "), " De ", " de "), " Do ", " do "), " Dos ", " dos "), " Das ", " das ")</f>
        <v>Karen Bianca Souza Santos</v>
      </c>
      <c r="J164" s="6" t="str">
        <f>SUBSTITUTE(SUBSTITUTE(SUBSTITUTE(SUBSTITUTE(SUBSTITUTE(dados_coletados!AA162, " Da ", " da "), " De ", " de "), " Do ", " do "), " Dos ", " dos "), " Das ", " das ")</f>
        <v>Antonio Carlos Ferreira da Silva</v>
      </c>
    </row>
    <row r="165" spans="9:10" ht="15.75" x14ac:dyDescent="0.25">
      <c r="I165" s="6" t="str">
        <f>SUBSTITUTE(SUBSTITUTE(SUBSTITUTE(SUBSTITUTE(SUBSTITUTE(dados_coletados!Z163, " Da ", " da "), " De ", " de "), " Do ", " do "), " Dos ", " dos "), " Das ", " das ")</f>
        <v>Jousyane Araujo Vieira</v>
      </c>
      <c r="J165" s="6" t="str">
        <f>SUBSTITUTE(SUBSTITUTE(SUBSTITUTE(SUBSTITUTE(SUBSTITUTE(dados_coletados!AA163, " Da ", " da "), " De ", " de "), " Do ", " do "), " Dos ", " dos "), " Das ", " das ")</f>
        <v>Cleyton Souza</v>
      </c>
    </row>
    <row r="166" spans="9:10" ht="15.75" x14ac:dyDescent="0.25">
      <c r="I166" s="6" t="str">
        <f>SUBSTITUTE(SUBSTITUTE(SUBSTITUTE(SUBSTITUTE(SUBSTITUTE(dados_coletados!Z164, " Da ", " da "), " De ", " de "), " Do ", " do "), " Dos ", " dos "), " Das ", " das ")</f>
        <v>Jessiane da Silva da Silva</v>
      </c>
      <c r="J166" s="6" t="str">
        <f>SUBSTITUTE(SUBSTITUTE(SUBSTITUTE(SUBSTITUTE(SUBSTITUTE(dados_coletados!AA164, " Da ", " da "), " De ", " de "), " Do ", " do "), " Dos ", " dos "), " Das ", " das ")</f>
        <v>Alisson Bruno Santos Costa</v>
      </c>
    </row>
    <row r="167" spans="9:10" ht="15.75" x14ac:dyDescent="0.25">
      <c r="I167" s="6" t="str">
        <f>SUBSTITUTE(SUBSTITUTE(SUBSTITUTE(SUBSTITUTE(SUBSTITUTE(dados_coletados!Z165, " Da ", " da "), " De ", " de "), " Do ", " do "), " Dos ", " dos "), " Das ", " das ")</f>
        <v>Maria Jose Campelo Gama</v>
      </c>
      <c r="J167" s="6" t="str">
        <f>SUBSTITUTE(SUBSTITUTE(SUBSTITUTE(SUBSTITUTE(SUBSTITUTE(dados_coletados!AA165, " Da ", " da "), " De ", " de "), " Do ", " do "), " Dos ", " dos "), " Das ", " das ")</f>
        <v>Paulo Alberto Brito de Sousa</v>
      </c>
    </row>
    <row r="168" spans="9:10" ht="15.75" x14ac:dyDescent="0.25">
      <c r="I168" s="6" t="str">
        <f>SUBSTITUTE(SUBSTITUTE(SUBSTITUTE(SUBSTITUTE(SUBSTITUTE(dados_coletados!Z166, " Da ", " da "), " De ", " de "), " Do ", " do "), " Dos ", " dos "), " Das ", " das ")</f>
        <v>Gleidilene Carvalho Mendes</v>
      </c>
      <c r="J168" s="6" t="str">
        <f>SUBSTITUTE(SUBSTITUTE(SUBSTITUTE(SUBSTITUTE(SUBSTITUTE(dados_coletados!AA166, " Da ", " da "), " De ", " de "), " Do ", " do "), " Dos ", " dos "), " Das ", " das ")</f>
        <v/>
      </c>
    </row>
    <row r="169" spans="9:10" ht="15.75" x14ac:dyDescent="0.25">
      <c r="I169" s="6" t="str">
        <f>SUBSTITUTE(SUBSTITUTE(SUBSTITUTE(SUBSTITUTE(SUBSTITUTE(dados_coletados!Z167, " Da ", " da "), " De ", " de "), " Do ", " do "), " Dos ", " dos "), " Das ", " das ")</f>
        <v>Patricia Filgueiras Barbosa</v>
      </c>
      <c r="J169" s="6" t="str">
        <f>SUBSTITUTE(SUBSTITUTE(SUBSTITUTE(SUBSTITUTE(SUBSTITUTE(dados_coletados!AA167, " Da ", " da "), " De ", " de "), " Do ", " do "), " Dos ", " dos "), " Das ", " das ")</f>
        <v>Alisson E Silva Barbosa</v>
      </c>
    </row>
    <row r="170" spans="9:10" ht="15.75" x14ac:dyDescent="0.25">
      <c r="I170" s="6" t="str">
        <f>SUBSTITUTE(SUBSTITUTE(SUBSTITUTE(SUBSTITUTE(SUBSTITUTE(dados_coletados!Z168, " Da ", " da "), " De ", " de "), " Do ", " do "), " Dos ", " dos "), " Das ", " das ")</f>
        <v>Nilsayne do Nascimento Pinto</v>
      </c>
      <c r="J170" s="6" t="str">
        <f>SUBSTITUTE(SUBSTITUTE(SUBSTITUTE(SUBSTITUTE(SUBSTITUTE(dados_coletados!AA168, " Da ", " da "), " De ", " de "), " Do ", " do "), " Dos ", " dos "), " Das ", " das ")</f>
        <v>Raul Ribeiro Martins</v>
      </c>
    </row>
    <row r="171" spans="9:10" ht="15.75" x14ac:dyDescent="0.25">
      <c r="I171" s="6" t="str">
        <f>SUBSTITUTE(SUBSTITUTE(SUBSTITUTE(SUBSTITUTE(SUBSTITUTE(dados_coletados!Z169, " Da ", " da "), " De ", " de "), " Do ", " do "), " Dos ", " dos "), " Das ", " das ")</f>
        <v>Francy Rose Pereira Barroso</v>
      </c>
      <c r="J171" s="6" t="str">
        <f>SUBSTITUTE(SUBSTITUTE(SUBSTITUTE(SUBSTITUTE(SUBSTITUTE(dados_coletados!AA169, " Da ", " da "), " De ", " de "), " Do ", " do "), " Dos ", " dos "), " Das ", " das ")</f>
        <v/>
      </c>
    </row>
    <row r="172" spans="9:10" ht="15.75" x14ac:dyDescent="0.25">
      <c r="I172" s="6" t="str">
        <f>SUBSTITUTE(SUBSTITUTE(SUBSTITUTE(SUBSTITUTE(SUBSTITUTE(dados_coletados!Z170, " Da ", " da "), " De ", " de "), " Do ", " do "), " Dos ", " dos "), " Das ", " das ")</f>
        <v>Antonilde Alves Cunha</v>
      </c>
      <c r="J172" s="6" t="str">
        <f>SUBSTITUTE(SUBSTITUTE(SUBSTITUTE(SUBSTITUTE(SUBSTITUTE(dados_coletados!AA170, " Da ", " da "), " De ", " de "), " Do ", " do "), " Dos ", " dos "), " Das ", " das ")</f>
        <v>Angel Antonio dos Santos Moraes</v>
      </c>
    </row>
    <row r="173" spans="9:10" ht="15.75" x14ac:dyDescent="0.25">
      <c r="I173" s="6" t="str">
        <f>SUBSTITUTE(SUBSTITUTE(SUBSTITUTE(SUBSTITUTE(SUBSTITUTE(dados_coletados!Z171, " Da ", " da "), " De ", " de "), " Do ", " do "), " Dos ", " dos "), " Das ", " das ")</f>
        <v>Carla Patricia Medeiros Martins</v>
      </c>
      <c r="J173" s="6" t="str">
        <f>SUBSTITUTE(SUBSTITUTE(SUBSTITUTE(SUBSTITUTE(SUBSTITUTE(dados_coletados!AA171, " Da ", " da "), " De ", " de "), " Do ", " do "), " Dos ", " dos "), " Das ", " das ")</f>
        <v>Robson Teixeira Martins</v>
      </c>
    </row>
    <row r="174" spans="9:10" ht="15.75" x14ac:dyDescent="0.25">
      <c r="I174" s="6" t="str">
        <f>SUBSTITUTE(SUBSTITUTE(SUBSTITUTE(SUBSTITUTE(SUBSTITUTE(dados_coletados!Z172, " Da ", " da "), " De ", " de "), " Do ", " do "), " Dos ", " dos "), " Das ", " das ")</f>
        <v>Ana Valeria Melo de Menezes</v>
      </c>
      <c r="J174" s="6" t="str">
        <f>SUBSTITUTE(SUBSTITUTE(SUBSTITUTE(SUBSTITUTE(SUBSTITUTE(dados_coletados!AA172, " Da ", " da "), " De ", " de "), " Do ", " do "), " Dos ", " dos "), " Das ", " das ")</f>
        <v>Raudson Ronney da Silva Marques</v>
      </c>
    </row>
    <row r="175" spans="9:10" ht="15.75" x14ac:dyDescent="0.25">
      <c r="I175" s="6" t="str">
        <f>SUBSTITUTE(SUBSTITUTE(SUBSTITUTE(SUBSTITUTE(SUBSTITUTE(dados_coletados!Z173, " Da ", " da "), " De ", " de "), " Do ", " do "), " Dos ", " dos "), " Das ", " das ")</f>
        <v>Veranice Silva Barbosa</v>
      </c>
      <c r="J175" s="6" t="str">
        <f>SUBSTITUTE(SUBSTITUTE(SUBSTITUTE(SUBSTITUTE(SUBSTITUTE(dados_coletados!AA173, " Da ", " da "), " De ", " de "), " Do ", " do "), " Dos ", " dos "), " Das ", " das ")</f>
        <v>Lucinaldo de Assis Martins</v>
      </c>
    </row>
    <row r="176" spans="9:10" ht="15.75" x14ac:dyDescent="0.25">
      <c r="I176" s="6" t="str">
        <f>SUBSTITUTE(SUBSTITUTE(SUBSTITUTE(SUBSTITUTE(SUBSTITUTE(dados_coletados!Z174, " Da ", " da "), " De ", " de "), " Do ", " do "), " Dos ", " dos "), " Das ", " das ")</f>
        <v>Kaciane Pereira Teixeira</v>
      </c>
      <c r="J176" s="6" t="str">
        <f>SUBSTITUTE(SUBSTITUTE(SUBSTITUTE(SUBSTITUTE(SUBSTITUTE(dados_coletados!AA174, " Da ", " da "), " De ", " de "), " Do ", " do "), " Dos ", " dos "), " Das ", " das ")</f>
        <v>José Ribamar Martins Pinheiro</v>
      </c>
    </row>
    <row r="177" spans="9:10" ht="15.75" x14ac:dyDescent="0.25">
      <c r="I177" s="6" t="str">
        <f>SUBSTITUTE(SUBSTITUTE(SUBSTITUTE(SUBSTITUTE(SUBSTITUTE(dados_coletados!Z175, " Da ", " da "), " De ", " de "), " Do ", " do "), " Dos ", " dos "), " Das ", " das ")</f>
        <v>Nilsayne do Nascimento Pinto</v>
      </c>
      <c r="J177" s="6" t="str">
        <f>SUBSTITUTE(SUBSTITUTE(SUBSTITUTE(SUBSTITUTE(SUBSTITUTE(dados_coletados!AA175, " Da ", " da "), " De ", " de "), " Do ", " do "), " Dos ", " dos "), " Das ", " das ")</f>
        <v/>
      </c>
    </row>
    <row r="178" spans="9:10" ht="15.75" x14ac:dyDescent="0.25">
      <c r="I178" s="6" t="str">
        <f>SUBSTITUTE(SUBSTITUTE(SUBSTITUTE(SUBSTITUTE(SUBSTITUTE(dados_coletados!Z176, " Da ", " da "), " De ", " de "), " Do ", " do "), " Dos ", " dos "), " Das ", " das ")</f>
        <v>Sandra Sousa da Conceição</v>
      </c>
      <c r="J178" s="6" t="str">
        <f>SUBSTITUTE(SUBSTITUTE(SUBSTITUTE(SUBSTITUTE(SUBSTITUTE(dados_coletados!AA176, " Da ", " da "), " De ", " de "), " Do ", " do "), " Dos ", " dos "), " Das ", " das ")</f>
        <v>Marcolino de Souza Neto</v>
      </c>
    </row>
    <row r="179" spans="9:10" ht="15.75" x14ac:dyDescent="0.25">
      <c r="I179" s="6" t="str">
        <f>SUBSTITUTE(SUBSTITUTE(SUBSTITUTE(SUBSTITUTE(SUBSTITUTE(dados_coletados!Z177, " Da ", " da "), " De ", " de "), " Do ", " do "), " Dos ", " dos "), " Das ", " das ")</f>
        <v>Regia Santos do Nascimento</v>
      </c>
      <c r="J179" s="6" t="str">
        <f>SUBSTITUTE(SUBSTITUTE(SUBSTITUTE(SUBSTITUTE(SUBSTITUTE(dados_coletados!AA177, " Da ", " da "), " De ", " de "), " Do ", " do "), " Dos ", " dos "), " Das ", " das ")</f>
        <v/>
      </c>
    </row>
    <row r="180" spans="9:10" ht="15.75" x14ac:dyDescent="0.25">
      <c r="I180" s="6" t="str">
        <f>SUBSTITUTE(SUBSTITUTE(SUBSTITUTE(SUBSTITUTE(SUBSTITUTE(dados_coletados!Z178, " Da ", " da "), " De ", " de "), " Do ", " do "), " Dos ", " dos "), " Das ", " das ")</f>
        <v>Ana Maria Aguiar dos Santos</v>
      </c>
      <c r="J180" s="6" t="str">
        <f>SUBSTITUTE(SUBSTITUTE(SUBSTITUTE(SUBSTITUTE(SUBSTITUTE(dados_coletados!AA178, " Da ", " da "), " De ", " de "), " Do ", " do "), " Dos ", " dos "), " Das ", " das ")</f>
        <v>Manoel Pereira de Sales</v>
      </c>
    </row>
    <row r="181" spans="9:10" ht="15.75" x14ac:dyDescent="0.25">
      <c r="I181" s="6" t="str">
        <f>SUBSTITUTE(SUBSTITUTE(SUBSTITUTE(SUBSTITUTE(SUBSTITUTE(dados_coletados!Z179, " Da ", " da "), " De ", " de "), " Do ", " do "), " Dos ", " dos "), " Das ", " das ")</f>
        <v>Maiandra da Silva Santos</v>
      </c>
      <c r="J181" s="6" t="str">
        <f>SUBSTITUTE(SUBSTITUTE(SUBSTITUTE(SUBSTITUTE(SUBSTITUTE(dados_coletados!AA179, " Da ", " da "), " De ", " de "), " Do ", " do "), " Dos ", " dos "), " Das ", " das ")</f>
        <v>Agnaldo Carvalho Oliveira</v>
      </c>
    </row>
    <row r="182" spans="9:10" ht="15.75" x14ac:dyDescent="0.25">
      <c r="I182" s="6" t="str">
        <f>SUBSTITUTE(SUBSTITUTE(SUBSTITUTE(SUBSTITUTE(SUBSTITUTE(dados_coletados!Z180, " Da ", " da "), " De ", " de "), " Do ", " do "), " Dos ", " dos "), " Das ", " das ")</f>
        <v>Rayanne Elaine Garcez da Silva</v>
      </c>
      <c r="J182" s="6" t="str">
        <f>SUBSTITUTE(SUBSTITUTE(SUBSTITUTE(SUBSTITUTE(SUBSTITUTE(dados_coletados!AA180, " Da ", " da "), " De ", " de "), " Do ", " do "), " Dos ", " dos "), " Das ", " das ")</f>
        <v>Emanuel Monteiro de Lima</v>
      </c>
    </row>
    <row r="183" spans="9:10" ht="15.75" x14ac:dyDescent="0.25">
      <c r="I183" s="6" t="str">
        <f>SUBSTITUTE(SUBSTITUTE(SUBSTITUTE(SUBSTITUTE(SUBSTITUTE(dados_coletados!Z181, " Da ", " da "), " De ", " de "), " Do ", " do "), " Dos ", " dos "), " Das ", " das ")</f>
        <v>Heila Suely Costa Silva</v>
      </c>
      <c r="J183" s="6" t="str">
        <f>SUBSTITUTE(SUBSTITUTE(SUBSTITUTE(SUBSTITUTE(SUBSTITUTE(dados_coletados!AA181, " Da ", " da "), " De ", " de "), " Do ", " do "), " Dos ", " dos "), " Das ", " das ")</f>
        <v>Marcio Cesar dos Santos Ataide</v>
      </c>
    </row>
    <row r="184" spans="9:10" ht="15.75" x14ac:dyDescent="0.25">
      <c r="I184" s="6" t="str">
        <f>SUBSTITUTE(SUBSTITUTE(SUBSTITUTE(SUBSTITUTE(SUBSTITUTE(dados_coletados!Z182, " Da ", " da "), " De ", " de "), " Do ", " do "), " Dos ", " dos "), " Das ", " das ")</f>
        <v>Edilane de Sousa Sena</v>
      </c>
      <c r="J184" s="6" t="str">
        <f>SUBSTITUTE(SUBSTITUTE(SUBSTITUTE(SUBSTITUTE(SUBSTITUTE(dados_coletados!AA182, " Da ", " da "), " De ", " de "), " Do ", " do "), " Dos ", " dos "), " Das ", " das ")</f>
        <v>Marcos Rodnew Silva Sodré</v>
      </c>
    </row>
    <row r="185" spans="9:10" ht="15.75" x14ac:dyDescent="0.25">
      <c r="I185" s="6" t="str">
        <f>SUBSTITUTE(SUBSTITUTE(SUBSTITUTE(SUBSTITUTE(SUBSTITUTE(dados_coletados!Z183, " Da ", " da "), " De ", " de "), " Do ", " do "), " Dos ", " dos "), " Das ", " das ")</f>
        <v>Joelma Maria Silva Brito</v>
      </c>
      <c r="J185" s="6" t="str">
        <f>SUBSTITUTE(SUBSTITUTE(SUBSTITUTE(SUBSTITUTE(SUBSTITUTE(dados_coletados!AA183, " Da ", " da "), " De ", " de "), " Do ", " do "), " Dos ", " dos "), " Das ", " das ")</f>
        <v>Marcos Antonio Silva</v>
      </c>
    </row>
    <row r="186" spans="9:10" ht="15.75" x14ac:dyDescent="0.25">
      <c r="I186" s="6" t="str">
        <f>SUBSTITUTE(SUBSTITUTE(SUBSTITUTE(SUBSTITUTE(SUBSTITUTE(dados_coletados!Z184, " Da ", " da "), " De ", " de "), " Do ", " do "), " Dos ", " dos "), " Das ", " das ")</f>
        <v>Gelzenira Rodrigues Camões</v>
      </c>
      <c r="J186" s="6" t="str">
        <f>SUBSTITUTE(SUBSTITUTE(SUBSTITUTE(SUBSTITUTE(SUBSTITUTE(dados_coletados!AA184, " Da ", " da "), " De ", " de "), " Do ", " do "), " Dos ", " dos "), " Das ", " das ")</f>
        <v>Windoson Frank Sousa Matins</v>
      </c>
    </row>
    <row r="187" spans="9:10" ht="15.75" x14ac:dyDescent="0.25">
      <c r="I187" s="6" t="str">
        <f>SUBSTITUTE(SUBSTITUTE(SUBSTITUTE(SUBSTITUTE(SUBSTITUTE(dados_coletados!Z185, " Da ", " da "), " De ", " de "), " Do ", " do "), " Dos ", " dos "), " Das ", " das ")</f>
        <v>Raimunda dos Santos E Santos</v>
      </c>
      <c r="J187" s="6" t="str">
        <f>SUBSTITUTE(SUBSTITUTE(SUBSTITUTE(SUBSTITUTE(SUBSTITUTE(dados_coletados!AA185, " Da ", " da "), " De ", " de "), " Do ", " do "), " Dos ", " dos "), " Das ", " das ")</f>
        <v>Vilson Tadeu Lima Santos</v>
      </c>
    </row>
    <row r="188" spans="9:10" ht="15.75" x14ac:dyDescent="0.25">
      <c r="I188" s="6" t="str">
        <f>SUBSTITUTE(SUBSTITUTE(SUBSTITUTE(SUBSTITUTE(SUBSTITUTE(dados_coletados!Z186, " Da ", " da "), " De ", " de "), " Do ", " do "), " Dos ", " dos "), " Das ", " das ")</f>
        <v>Cleonice Aparecida Maia Medeiros</v>
      </c>
      <c r="J188" s="6" t="str">
        <f>SUBSTITUTE(SUBSTITUTE(SUBSTITUTE(SUBSTITUTE(SUBSTITUTE(dados_coletados!AA186, " Da ", " da "), " De ", " de "), " Do ", " do "), " Dos ", " dos "), " Das ", " das ")</f>
        <v>Sergio Sousa Alderaldo</v>
      </c>
    </row>
    <row r="189" spans="9:10" ht="15.75" x14ac:dyDescent="0.25">
      <c r="I189" s="6" t="str">
        <f>SUBSTITUTE(SUBSTITUTE(SUBSTITUTE(SUBSTITUTE(SUBSTITUTE(dados_coletados!Z187, " Da ", " da "), " De ", " de "), " Do ", " do "), " Dos ", " dos "), " Das ", " das ")</f>
        <v>Erika Fernanda Silva Sousa</v>
      </c>
      <c r="J189" s="6" t="str">
        <f>SUBSTITUTE(SUBSTITUTE(SUBSTITUTE(SUBSTITUTE(SUBSTITUTE(dados_coletados!AA187, " Da ", " da "), " De ", " de "), " Do ", " do "), " Dos ", " dos "), " Das ", " das ")</f>
        <v>Rubem Mendes Costa</v>
      </c>
    </row>
    <row r="190" spans="9:10" ht="15.75" x14ac:dyDescent="0.25">
      <c r="I190" s="6" t="str">
        <f>SUBSTITUTE(SUBSTITUTE(SUBSTITUTE(SUBSTITUTE(SUBSTITUTE(dados_coletados!Z188, " Da ", " da "), " De ", " de "), " Do ", " do "), " Dos ", " dos "), " Das ", " das ")</f>
        <v>Patricia Cordeiro de Lima</v>
      </c>
      <c r="J190" s="6" t="str">
        <f>SUBSTITUTE(SUBSTITUTE(SUBSTITUTE(SUBSTITUTE(SUBSTITUTE(dados_coletados!AA188, " Da ", " da "), " De ", " de "), " Do ", " do "), " Dos ", " dos "), " Das ", " das ")</f>
        <v>Marcelo Martins dos Santos</v>
      </c>
    </row>
    <row r="191" spans="9:10" ht="15.75" x14ac:dyDescent="0.25">
      <c r="I191" s="6" t="str">
        <f>SUBSTITUTE(SUBSTITUTE(SUBSTITUTE(SUBSTITUTE(SUBSTITUTE(dados_coletados!Z189, " Da ", " da "), " De ", " de "), " Do ", " do "), " Dos ", " dos "), " Das ", " das ")</f>
        <v>Fabiane dos Santos Galca</v>
      </c>
      <c r="J191" s="6" t="str">
        <f>SUBSTITUTE(SUBSTITUTE(SUBSTITUTE(SUBSTITUTE(SUBSTITUTE(dados_coletados!AA189, " Da ", " da "), " De ", " de "), " Do ", " do "), " Dos ", " dos "), " Das ", " das ")</f>
        <v>Jakson Galca Cantanhede</v>
      </c>
    </row>
    <row r="192" spans="9:10" ht="15.75" x14ac:dyDescent="0.25">
      <c r="I192" s="6" t="str">
        <f>SUBSTITUTE(SUBSTITUTE(SUBSTITUTE(SUBSTITUTE(SUBSTITUTE(dados_coletados!Z190, " Da ", " da "), " De ", " de "), " Do ", " do "), " Dos ", " dos "), " Das ", " das ")</f>
        <v>Elilde Mendes da Silva</v>
      </c>
      <c r="J192" s="6" t="str">
        <f>SUBSTITUTE(SUBSTITUTE(SUBSTITUTE(SUBSTITUTE(SUBSTITUTE(dados_coletados!AA190, " Da ", " da "), " De ", " de "), " Do ", " do "), " Dos ", " dos "), " Das ", " das ")</f>
        <v>Valdir Muller Lago Neto</v>
      </c>
    </row>
    <row r="193" spans="9:10" ht="15.75" x14ac:dyDescent="0.25">
      <c r="I193" s="6" t="str">
        <f>SUBSTITUTE(SUBSTITUTE(SUBSTITUTE(SUBSTITUTE(SUBSTITUTE(dados_coletados!Z191, " Da ", " da "), " De ", " de "), " Do ", " do "), " Dos ", " dos "), " Das ", " das ")</f>
        <v>Maria Eline Ribeiro Miguens</v>
      </c>
      <c r="J193" s="6" t="str">
        <f>SUBSTITUTE(SUBSTITUTE(SUBSTITUTE(SUBSTITUTE(SUBSTITUTE(dados_coletados!AA191, " Da ", " da "), " De ", " de "), " Do ", " do "), " Dos ", " dos "), " Das ", " das ")</f>
        <v>Higor Thiago Reis Cunha</v>
      </c>
    </row>
    <row r="194" spans="9:10" ht="15.75" x14ac:dyDescent="0.25">
      <c r="I194" s="6" t="str">
        <f>SUBSTITUTE(SUBSTITUTE(SUBSTITUTE(SUBSTITUTE(SUBSTITUTE(dados_coletados!Z192, " Da ", " da "), " De ", " de "), " Do ", " do "), " Dos ", " dos "), " Das ", " das ")</f>
        <v>Letícia Maria Cunha Costa</v>
      </c>
      <c r="J194" s="6" t="str">
        <f>SUBSTITUTE(SUBSTITUTE(SUBSTITUTE(SUBSTITUTE(SUBSTITUTE(dados_coletados!AA192, " Da ", " da "), " De ", " de "), " Do ", " do "), " Dos ", " dos "), " Das ", " das ")</f>
        <v>Klebenilson Teixeira Marques</v>
      </c>
    </row>
    <row r="195" spans="9:10" ht="15.75" x14ac:dyDescent="0.25">
      <c r="I195" s="6" t="str">
        <f>SUBSTITUTE(SUBSTITUTE(SUBSTITUTE(SUBSTITUTE(SUBSTITUTE(dados_coletados!Z193, " Da ", " da "), " De ", " de "), " Do ", " do "), " Dos ", " dos "), " Das ", " das ")</f>
        <v>Sara da Silva Medeiros</v>
      </c>
      <c r="J195" s="6" t="str">
        <f>SUBSTITUTE(SUBSTITUTE(SUBSTITUTE(SUBSTITUTE(SUBSTITUTE(dados_coletados!AA193, " Da ", " da "), " De ", " de "), " Do ", " do "), " Dos ", " dos "), " Das ", " das ")</f>
        <v>Alleson Dantas Ferreira Junior</v>
      </c>
    </row>
    <row r="196" spans="9:10" ht="15.75" x14ac:dyDescent="0.25">
      <c r="I196" s="6" t="str">
        <f>SUBSTITUTE(SUBSTITUTE(SUBSTITUTE(SUBSTITUTE(SUBSTITUTE(dados_coletados!Z194, " Da ", " da "), " De ", " de "), " Do ", " do "), " Dos ", " dos "), " Das ", " das ")</f>
        <v>Lucelia Gomes Vale</v>
      </c>
      <c r="J196" s="6" t="str">
        <f>SUBSTITUTE(SUBSTITUTE(SUBSTITUTE(SUBSTITUTE(SUBSTITUTE(dados_coletados!AA194, " Da ", " da "), " De ", " de "), " Do ", " do "), " Dos ", " dos "), " Das ", " das ")</f>
        <v>Adailson Wysley Santoa Amorim</v>
      </c>
    </row>
    <row r="197" spans="9:10" ht="15.75" x14ac:dyDescent="0.25">
      <c r="I197" s="6" t="str">
        <f>SUBSTITUTE(SUBSTITUTE(SUBSTITUTE(SUBSTITUTE(SUBSTITUTE(dados_coletados!Z195, " Da ", " da "), " De ", " de "), " Do ", " do "), " Dos ", " dos "), " Das ", " das ")</f>
        <v>Jhesse Jordanne Cutrim Martins</v>
      </c>
      <c r="J197" s="6" t="str">
        <f>SUBSTITUTE(SUBSTITUTE(SUBSTITUTE(SUBSTITUTE(SUBSTITUTE(dados_coletados!AA195, " Da ", " da "), " De ", " de "), " Do ", " do "), " Dos ", " dos "), " Das ", " das ")</f>
        <v>Vinicius Henrique da Silva Portela</v>
      </c>
    </row>
    <row r="198" spans="9:10" ht="15.75" x14ac:dyDescent="0.25">
      <c r="I198" s="6" t="str">
        <f>SUBSTITUTE(SUBSTITUTE(SUBSTITUTE(SUBSTITUTE(SUBSTITUTE(dados_coletados!Z196, " Da ", " da "), " De ", " de "), " Do ", " do "), " Dos ", " dos "), " Das ", " das ")</f>
        <v>Byanca  Darlen Santos da Silva</v>
      </c>
      <c r="J198" s="6" t="str">
        <f>SUBSTITUTE(SUBSTITUTE(SUBSTITUTE(SUBSTITUTE(SUBSTITUTE(dados_coletados!AA196, " Da ", " da "), " De ", " de "), " Do ", " do "), " Dos ", " dos "), " Das ", " das ")</f>
        <v>Raul Araujo Silva</v>
      </c>
    </row>
    <row r="199" spans="9:10" ht="15.75" x14ac:dyDescent="0.25">
      <c r="I199" s="6" t="str">
        <f>SUBSTITUTE(SUBSTITUTE(SUBSTITUTE(SUBSTITUTE(SUBSTITUTE(dados_coletados!Z197, " Da ", " da "), " De ", " de "), " Do ", " do "), " Dos ", " dos "), " Das ", " das ")</f>
        <v>Irenilde Silva</v>
      </c>
      <c r="J199" s="6" t="str">
        <f>SUBSTITUTE(SUBSTITUTE(SUBSTITUTE(SUBSTITUTE(SUBSTITUTE(dados_coletados!AA197, " Da ", " da "), " De ", " de "), " Do ", " do "), " Dos ", " dos "), " Das ", " das ")</f>
        <v>Ipsoney Miranda Nogueira</v>
      </c>
    </row>
    <row r="200" spans="9:10" ht="15.75" x14ac:dyDescent="0.25">
      <c r="I200" s="6" t="str">
        <f>SUBSTITUTE(SUBSTITUTE(SUBSTITUTE(SUBSTITUTE(SUBSTITUTE(dados_coletados!Z198, " Da ", " da "), " De ", " de "), " Do ", " do "), " Dos ", " dos "), " Das ", " das ")</f>
        <v>Maria Antônia Pereira Araujo</v>
      </c>
      <c r="J200" s="6" t="str">
        <f>SUBSTITUTE(SUBSTITUTE(SUBSTITUTE(SUBSTITUTE(SUBSTITUTE(dados_coletados!AA198, " Da ", " da "), " De ", " de "), " Do ", " do "), " Dos ", " dos "), " Das ", " das ")</f>
        <v>Antônio LuãS Santos Rodrigues</v>
      </c>
    </row>
    <row r="201" spans="9:10" ht="15.75" x14ac:dyDescent="0.25">
      <c r="I201" s="6" t="str">
        <f>SUBSTITUTE(SUBSTITUTE(SUBSTITUTE(SUBSTITUTE(SUBSTITUTE(dados_coletados!Z199, " Da ", " da "), " De ", " de "), " Do ", " do "), " Dos ", " dos "), " Das ", " das ")</f>
        <v>Maria Claudia dos Santos Calisto</v>
      </c>
      <c r="J201" s="6" t="str">
        <f>SUBSTITUTE(SUBSTITUTE(SUBSTITUTE(SUBSTITUTE(SUBSTITUTE(dados_coletados!AA199, " Da ", " da "), " De ", " de "), " Do ", " do "), " Dos ", " dos "), " Das ", " das ")</f>
        <v>Eliseu Pereira Calista</v>
      </c>
    </row>
    <row r="202" spans="9:10" ht="15.75" x14ac:dyDescent="0.25">
      <c r="I202" s="6" t="str">
        <f>SUBSTITUTE(SUBSTITUTE(SUBSTITUTE(SUBSTITUTE(SUBSTITUTE(dados_coletados!Z200, " Da ", " da "), " De ", " de "), " Do ", " do "), " Dos ", " dos "), " Das ", " das ")</f>
        <v>Michelle Costa Vale</v>
      </c>
      <c r="J202" s="6" t="str">
        <f>SUBSTITUTE(SUBSTITUTE(SUBSTITUTE(SUBSTITUTE(SUBSTITUTE(dados_coletados!AA200, " Da ", " da "), " De ", " de "), " Do ", " do "), " Dos ", " dos "), " Das ", " das ")</f>
        <v>Marcilis de Jesus Ramos Araujo</v>
      </c>
    </row>
    <row r="203" spans="9:10" ht="15.75" x14ac:dyDescent="0.25">
      <c r="I203" s="6" t="str">
        <f>SUBSTITUTE(SUBSTITUTE(SUBSTITUTE(SUBSTITUTE(SUBSTITUTE(dados_coletados!Z201, " Da ", " da "), " De ", " de "), " Do ", " do "), " Dos ", " dos "), " Das ", " das ")</f>
        <v>Barbara Raquel Sales da Silva</v>
      </c>
      <c r="J203" s="6" t="str">
        <f>SUBSTITUTE(SUBSTITUTE(SUBSTITUTE(SUBSTITUTE(SUBSTITUTE(dados_coletados!AA201, " Da ", " da "), " De ", " de "), " Do ", " do "), " Dos ", " dos "), " Das ", " das ")</f>
        <v>Mayckswel Serra da Silva</v>
      </c>
    </row>
    <row r="204" spans="9:10" ht="15.75" x14ac:dyDescent="0.25">
      <c r="I204" s="6" t="str">
        <f>SUBSTITUTE(SUBSTITUTE(SUBSTITUTE(SUBSTITUTE(SUBSTITUTE(dados_coletados!Z202, " Da ", " da "), " De ", " de "), " Do ", " do "), " Dos ", " dos "), " Das ", " das ")</f>
        <v>Elisandra da Silva Costa</v>
      </c>
      <c r="J204" s="6" t="str">
        <f>SUBSTITUTE(SUBSTITUTE(SUBSTITUTE(SUBSTITUTE(SUBSTITUTE(dados_coletados!AA202, " Da ", " da "), " De ", " de "), " Do ", " do "), " Dos ", " dos "), " Das ", " das ")</f>
        <v>Fagner Alves dos Santos</v>
      </c>
    </row>
    <row r="205" spans="9:10" ht="15.75" x14ac:dyDescent="0.25">
      <c r="I205" s="6" t="str">
        <f>SUBSTITUTE(SUBSTITUTE(SUBSTITUTE(SUBSTITUTE(SUBSTITUTE(dados_coletados!Z203, " Da ", " da "), " De ", " de "), " Do ", " do "), " Dos ", " dos "), " Das ", " das ")</f>
        <v>Izanclei Muniz Sardinha</v>
      </c>
      <c r="J205" s="6" t="str">
        <f>SUBSTITUTE(SUBSTITUTE(SUBSTITUTE(SUBSTITUTE(SUBSTITUTE(dados_coletados!AA203, " Da ", " da "), " De ", " de "), " Do ", " do "), " Dos ", " dos "), " Das ", " das ")</f>
        <v>Elisvaldo Frazão Coimbra</v>
      </c>
    </row>
    <row r="206" spans="9:10" ht="15.75" x14ac:dyDescent="0.25">
      <c r="I206" s="6" t="str">
        <f>SUBSTITUTE(SUBSTITUTE(SUBSTITUTE(SUBSTITUTE(SUBSTITUTE(dados_coletados!Z204, " Da ", " da "), " De ", " de "), " Do ", " do "), " Dos ", " dos "), " Das ", " das ")</f>
        <v>Anne Danielly da Silva Soares</v>
      </c>
      <c r="J206" s="6" t="str">
        <f>SUBSTITUTE(SUBSTITUTE(SUBSTITUTE(SUBSTITUTE(SUBSTITUTE(dados_coletados!AA204, " Da ", " da "), " De ", " de "), " Do ", " do "), " Dos ", " dos "), " Das ", " das ")</f>
        <v>Diego Fernando Cardenas Ramirez</v>
      </c>
    </row>
    <row r="207" spans="9:10" ht="15.75" x14ac:dyDescent="0.25">
      <c r="I207" s="6" t="str">
        <f>SUBSTITUTE(SUBSTITUTE(SUBSTITUTE(SUBSTITUTE(SUBSTITUTE(dados_coletados!Z205, " Da ", " da "), " De ", " de "), " Do ", " do "), " Dos ", " dos "), " Das ", " das ")</f>
        <v>Ana Caroline Braga Pacheco</v>
      </c>
      <c r="J207" s="6" t="str">
        <f>SUBSTITUTE(SUBSTITUTE(SUBSTITUTE(SUBSTITUTE(SUBSTITUTE(dados_coletados!AA205, " Da ", " da "), " De ", " de "), " Do ", " do "), " Dos ", " dos "), " Das ", " das ")</f>
        <v>Rafael Mendonça Pacheco</v>
      </c>
    </row>
    <row r="208" spans="9:10" ht="15.75" x14ac:dyDescent="0.25">
      <c r="I208" s="6" t="str">
        <f>SUBSTITUTE(SUBSTITUTE(SUBSTITUTE(SUBSTITUTE(SUBSTITUTE(dados_coletados!Z206, " Da ", " da "), " De ", " de "), " Do ", " do "), " Dos ", " dos "), " Das ", " das ")</f>
        <v>Patricia de Brito Meneses</v>
      </c>
      <c r="J208" s="6" t="str">
        <f>SUBSTITUTE(SUBSTITUTE(SUBSTITUTE(SUBSTITUTE(SUBSTITUTE(dados_coletados!AA206, " Da ", " da "), " De ", " de "), " Do ", " do "), " Dos ", " dos "), " Das ", " das ")</f>
        <v>Maycon Vale dos Santos</v>
      </c>
    </row>
    <row r="209" spans="9:10" ht="15.75" x14ac:dyDescent="0.25">
      <c r="I209" s="6" t="str">
        <f>SUBSTITUTE(SUBSTITUTE(SUBSTITUTE(SUBSTITUTE(SUBSTITUTE(dados_coletados!Z207, " Da ", " da "), " De ", " de "), " Do ", " do "), " Dos ", " dos "), " Das ", " das ")</f>
        <v>Maria Claudia dos Santos Calisto</v>
      </c>
      <c r="J209" s="6" t="str">
        <f>SUBSTITUTE(SUBSTITUTE(SUBSTITUTE(SUBSTITUTE(SUBSTITUTE(dados_coletados!AA207, " Da ", " da "), " De ", " de "), " Do ", " do "), " Dos ", " dos "), " Das ", " das ")</f>
        <v>Isac Costa Sobrinho</v>
      </c>
    </row>
    <row r="210" spans="9:10" ht="15.75" x14ac:dyDescent="0.25">
      <c r="I210" s="6" t="str">
        <f>SUBSTITUTE(SUBSTITUTE(SUBSTITUTE(SUBSTITUTE(SUBSTITUTE(dados_coletados!Z208, " Da ", " da "), " De ", " de "), " Do ", " do "), " Dos ", " dos "), " Das ", " das ")</f>
        <v>Joanilce Marques Tavares</v>
      </c>
      <c r="J210" s="6" t="str">
        <f>SUBSTITUTE(SUBSTITUTE(SUBSTITUTE(SUBSTITUTE(SUBSTITUTE(dados_coletados!AA208, " Da ", " da "), " De ", " de "), " Do ", " do "), " Dos ", " dos "), " Das ", " das ")</f>
        <v>Jamerson Augusto dos Santos Melo</v>
      </c>
    </row>
    <row r="211" spans="9:10" ht="15.75" x14ac:dyDescent="0.25">
      <c r="I211" s="6" t="str">
        <f>SUBSTITUTE(SUBSTITUTE(SUBSTITUTE(SUBSTITUTE(SUBSTITUTE(dados_coletados!Z209, " Da ", " da "), " De ", " de "), " Do ", " do "), " Dos ", " dos "), " Das ", " das ")</f>
        <v>Ana Caroline Braga</v>
      </c>
      <c r="J211" s="6" t="str">
        <f>SUBSTITUTE(SUBSTITUTE(SUBSTITUTE(SUBSTITUTE(SUBSTITUTE(dados_coletados!AA209, " Da ", " da "), " De ", " de "), " Do ", " do "), " Dos ", " dos "), " Das ", " das ")</f>
        <v>Rafael Menconça Pachúco</v>
      </c>
    </row>
    <row r="212" spans="9:10" ht="15.75" x14ac:dyDescent="0.25">
      <c r="I212" s="6" t="str">
        <f>SUBSTITUTE(SUBSTITUTE(SUBSTITUTE(SUBSTITUTE(SUBSTITUTE(dados_coletados!Z210, " Da ", " da "), " De ", " de "), " Do ", " do "), " Dos ", " dos "), " Das ", " das ")</f>
        <v>Vanessa de Sã Meneses Costa</v>
      </c>
      <c r="J212" s="6" t="str">
        <f>SUBSTITUTE(SUBSTITUTE(SUBSTITUTE(SUBSTITUTE(SUBSTITUTE(dados_coletados!AA210, " Da ", " da "), " De ", " de "), " Do ", " do "), " Dos ", " dos "), " Das ", " das ")</f>
        <v/>
      </c>
    </row>
    <row r="213" spans="9:10" ht="15.75" x14ac:dyDescent="0.25">
      <c r="I213" s="6" t="str">
        <f>SUBSTITUTE(SUBSTITUTE(SUBSTITUTE(SUBSTITUTE(SUBSTITUTE(dados_coletados!Z211, " Da ", " da "), " De ", " de "), " Do ", " do "), " Dos ", " dos "), " Das ", " das ")</f>
        <v>Varnilda Soares Silva</v>
      </c>
      <c r="J213" s="6" t="str">
        <f>SUBSTITUTE(SUBSTITUTE(SUBSTITUTE(SUBSTITUTE(SUBSTITUTE(dados_coletados!AA211, " Da ", " da "), " De ", " de "), " Do ", " do "), " Dos ", " dos "), " Das ", " das ")</f>
        <v>Luis Alberto Pinheiro Ferreira</v>
      </c>
    </row>
    <row r="214" spans="9:10" ht="15.75" x14ac:dyDescent="0.25">
      <c r="I214" s="6" t="str">
        <f>SUBSTITUTE(SUBSTITUTE(SUBSTITUTE(SUBSTITUTE(SUBSTITUTE(dados_coletados!Z212, " Da ", " da "), " De ", " de "), " Do ", " do "), " Dos ", " dos "), " Das ", " das ")</f>
        <v>Ana Claudia Chagas</v>
      </c>
      <c r="J214" s="6" t="str">
        <f>SUBSTITUTE(SUBSTITUTE(SUBSTITUTE(SUBSTITUTE(SUBSTITUTE(dados_coletados!AA212, " Da ", " da "), " De ", " de "), " Do ", " do "), " Dos ", " dos "), " Das ", " das ")</f>
        <v/>
      </c>
    </row>
    <row r="215" spans="9:10" ht="15.75" x14ac:dyDescent="0.25">
      <c r="I215" s="6" t="str">
        <f>SUBSTITUTE(SUBSTITUTE(SUBSTITUTE(SUBSTITUTE(SUBSTITUTE(dados_coletados!Z213, " Da ", " da "), " De ", " de "), " Do ", " do "), " Dos ", " dos "), " Das ", " das ")</f>
        <v>Joice Pinheiro da Silva</v>
      </c>
      <c r="J215" s="6" t="str">
        <f>SUBSTITUTE(SUBSTITUTE(SUBSTITUTE(SUBSTITUTE(SUBSTITUTE(dados_coletados!AA213, " Da ", " da "), " De ", " de "), " Do ", " do "), " Dos ", " dos "), " Das ", " das ")</f>
        <v>Maxuell Alves da Silva</v>
      </c>
    </row>
    <row r="216" spans="9:10" ht="15.75" x14ac:dyDescent="0.25">
      <c r="I216" s="6" t="str">
        <f>SUBSTITUTE(SUBSTITUTE(SUBSTITUTE(SUBSTITUTE(SUBSTITUTE(dados_coletados!Z214, " Da ", " da "), " De ", " de "), " Do ", " do "), " Dos ", " dos "), " Das ", " das ")</f>
        <v>Chislliane Santos da Silva</v>
      </c>
      <c r="J216" s="6" t="str">
        <f>SUBSTITUTE(SUBSTITUTE(SUBSTITUTE(SUBSTITUTE(SUBSTITUTE(dados_coletados!AA214, " Da ", " da "), " De ", " de "), " Do ", " do "), " Dos ", " dos "), " Das ", " das ")</f>
        <v>Johnatan Araujo da Silva</v>
      </c>
    </row>
    <row r="217" spans="9:10" ht="15.75" x14ac:dyDescent="0.25">
      <c r="I217" s="6" t="str">
        <f>SUBSTITUTE(SUBSTITUTE(SUBSTITUTE(SUBSTITUTE(SUBSTITUTE(dados_coletados!Z215, " Da ", " da "), " De ", " de "), " Do ", " do "), " Dos ", " dos "), " Das ", " das ")</f>
        <v>Francivania Vieira Soares</v>
      </c>
      <c r="J217" s="6" t="str">
        <f>SUBSTITUTE(SUBSTITUTE(SUBSTITUTE(SUBSTITUTE(SUBSTITUTE(dados_coletados!AA215, " Da ", " da "), " De ", " de "), " Do ", " do "), " Dos ", " dos "), " Das ", " das ")</f>
        <v>Antonio dos Reis Queiroz</v>
      </c>
    </row>
    <row r="218" spans="9:10" ht="15.75" x14ac:dyDescent="0.25">
      <c r="I218" s="6" t="str">
        <f>SUBSTITUTE(SUBSTITUTE(SUBSTITUTE(SUBSTITUTE(SUBSTITUTE(dados_coletados!Z216, " Da ", " da "), " De ", " de "), " Do ", " do "), " Dos ", " dos "), " Das ", " das ")</f>
        <v>Judilene Lemos Batalha</v>
      </c>
      <c r="J218" s="6" t="str">
        <f>SUBSTITUTE(SUBSTITUTE(SUBSTITUTE(SUBSTITUTE(SUBSTITUTE(dados_coletados!AA216, " Da ", " da "), " De ", " de "), " Do ", " do "), " Dos ", " dos "), " Das ", " das ")</f>
        <v>Cheysson Santos da Silva</v>
      </c>
    </row>
    <row r="219" spans="9:10" ht="15.75" x14ac:dyDescent="0.25">
      <c r="I219" s="6" t="str">
        <f>SUBSTITUTE(SUBSTITUTE(SUBSTITUTE(SUBSTITUTE(SUBSTITUTE(dados_coletados!Z217, " Da ", " da "), " De ", " de "), " Do ", " do "), " Dos ", " dos "), " Das ", " das ")</f>
        <v>Floracy Silva Leite</v>
      </c>
      <c r="J219" s="6" t="str">
        <f>SUBSTITUTE(SUBSTITUTE(SUBSTITUTE(SUBSTITUTE(SUBSTITUTE(dados_coletados!AA217, " Da ", " da "), " De ", " de "), " Do ", " do "), " Dos ", " dos "), " Das ", " das ")</f>
        <v>Otideney Neves da Silva</v>
      </c>
    </row>
    <row r="220" spans="9:10" ht="15.75" x14ac:dyDescent="0.25">
      <c r="I220" s="6" t="str">
        <f>SUBSTITUTE(SUBSTITUTE(SUBSTITUTE(SUBSTITUTE(SUBSTITUTE(dados_coletados!Z218, " Da ", " da "), " De ", " de "), " Do ", " do "), " Dos ", " dos "), " Das ", " das ")</f>
        <v>Naagilla Silva Sampaio Correia</v>
      </c>
      <c r="J220" s="6" t="str">
        <f>SUBSTITUTE(SUBSTITUTE(SUBSTITUTE(SUBSTITUTE(SUBSTITUTE(dados_coletados!AA218, " Da ", " da "), " De ", " de "), " Do ", " do "), " Dos ", " dos "), " Das ", " das ")</f>
        <v>Marcone George Moreira Correia</v>
      </c>
    </row>
    <row r="221" spans="9:10" ht="15.75" x14ac:dyDescent="0.25">
      <c r="I221" s="6" t="str">
        <f>SUBSTITUTE(SUBSTITUTE(SUBSTITUTE(SUBSTITUTE(SUBSTITUTE(dados_coletados!Z219, " Da ", " da "), " De ", " de "), " Do ", " do "), " Dos ", " dos "), " Das ", " das ")</f>
        <v>Micilene Souza</v>
      </c>
      <c r="J221" s="6" t="str">
        <f>SUBSTITUTE(SUBSTITUTE(SUBSTITUTE(SUBSTITUTE(SUBSTITUTE(dados_coletados!AA219, " Da ", " da "), " De ", " de "), " Do ", " do "), " Dos ", " dos "), " Das ", " das ")</f>
        <v>Paulo Roberto Alipio Silva</v>
      </c>
    </row>
    <row r="222" spans="9:10" ht="15.75" x14ac:dyDescent="0.25">
      <c r="I222" s="6" t="str">
        <f>SUBSTITUTE(SUBSTITUTE(SUBSTITUTE(SUBSTITUTE(SUBSTITUTE(dados_coletados!Z220, " Da ", " da "), " De ", " de "), " Do ", " do "), " Dos ", " dos "), " Das ", " das ")</f>
        <v>Eliziene Marcia Castro Pinheiro</v>
      </c>
      <c r="J222" s="6" t="str">
        <f>SUBSTITUTE(SUBSTITUTE(SUBSTITUTE(SUBSTITUTE(SUBSTITUTE(dados_coletados!AA220, " Da ", " da "), " De ", " de "), " Do ", " do "), " Dos ", " dos "), " Das ", " das ")</f>
        <v>Adnilson Paulo Desterro</v>
      </c>
    </row>
    <row r="223" spans="9:10" ht="15.75" x14ac:dyDescent="0.25">
      <c r="I223" s="6" t="str">
        <f>SUBSTITUTE(SUBSTITUTE(SUBSTITUTE(SUBSTITUTE(SUBSTITUTE(dados_coletados!Z221, " Da ", " da "), " De ", " de "), " Do ", " do "), " Dos ", " dos "), " Das ", " das ")</f>
        <v>Lidia Cristina Reis de Azevedo</v>
      </c>
      <c r="J223" s="6" t="str">
        <f>SUBSTITUTE(SUBSTITUTE(SUBSTITUTE(SUBSTITUTE(SUBSTITUTE(dados_coletados!AA221, " Da ", " da "), " De ", " de "), " Do ", " do "), " Dos ", " dos "), " Das ", " das ")</f>
        <v>Eudes Junior Carneiro Reis de Lima</v>
      </c>
    </row>
    <row r="224" spans="9:10" ht="15.75" x14ac:dyDescent="0.25">
      <c r="I224" s="6" t="str">
        <f>SUBSTITUTE(SUBSTITUTE(SUBSTITUTE(SUBSTITUTE(SUBSTITUTE(dados_coletados!Z222, " Da ", " da "), " De ", " de "), " Do ", " do "), " Dos ", " dos "), " Das ", " das ")</f>
        <v>Danielle Cristina Castro Rodrigues</v>
      </c>
      <c r="J224" s="6" t="str">
        <f>SUBSTITUTE(SUBSTITUTE(SUBSTITUTE(SUBSTITUTE(SUBSTITUTE(dados_coletados!AA222, " Da ", " da "), " De ", " de "), " Do ", " do "), " Dos ", " dos "), " Das ", " das ")</f>
        <v/>
      </c>
    </row>
    <row r="225" spans="9:10" ht="15.75" x14ac:dyDescent="0.25">
      <c r="I225" s="6" t="str">
        <f>SUBSTITUTE(SUBSTITUTE(SUBSTITUTE(SUBSTITUTE(SUBSTITUTE(dados_coletados!Z223, " Da ", " da "), " De ", " de "), " Do ", " do "), " Dos ", " dos "), " Das ", " das ")</f>
        <v>Maria Antônia Pereira de Araujo</v>
      </c>
      <c r="J225" s="6" t="str">
        <f>SUBSTITUTE(SUBSTITUTE(SUBSTITUTE(SUBSTITUTE(SUBSTITUTE(dados_coletados!AA223, " Da ", " da "), " De ", " de "), " Do ", " do "), " Dos ", " dos "), " Das ", " das ")</f>
        <v>Antônio LuãS Santos Araujo</v>
      </c>
    </row>
    <row r="226" spans="9:10" ht="15.75" x14ac:dyDescent="0.25">
      <c r="I226" s="6" t="str">
        <f>SUBSTITUTE(SUBSTITUTE(SUBSTITUTE(SUBSTITUTE(SUBSTITUTE(dados_coletados!Z224, " Da ", " da "), " De ", " de "), " Do ", " do "), " Dos ", " dos "), " Das ", " das ")</f>
        <v>Soraia Araujo da Silva Costa</v>
      </c>
      <c r="J226" s="6" t="str">
        <f>SUBSTITUTE(SUBSTITUTE(SUBSTITUTE(SUBSTITUTE(SUBSTITUTE(dados_coletados!AA224, " Da ", " da "), " De ", " de "), " Do ", " do "), " Dos ", " dos "), " Das ", " das ")</f>
        <v>Paulo Henrique Almeida Costa</v>
      </c>
    </row>
    <row r="227" spans="9:10" ht="15.75" x14ac:dyDescent="0.25">
      <c r="I227" s="6" t="str">
        <f>SUBSTITUTE(SUBSTITUTE(SUBSTITUTE(SUBSTITUTE(SUBSTITUTE(dados_coletados!Z225, " Da ", " da "), " De ", " de "), " Do ", " do "), " Dos ", " dos "), " Das ", " das ")</f>
        <v>Keila Nunes Veloso</v>
      </c>
      <c r="J227" s="6" t="str">
        <f>SUBSTITUTE(SUBSTITUTE(SUBSTITUTE(SUBSTITUTE(SUBSTITUTE(dados_coletados!AA225, " Da ", " da "), " De ", " de "), " Do ", " do "), " Dos ", " dos "), " Das ", " das ")</f>
        <v>Hugo Deleon Lima de Brito</v>
      </c>
    </row>
    <row r="228" spans="9:10" ht="15.75" x14ac:dyDescent="0.25">
      <c r="I228" s="6" t="str">
        <f>SUBSTITUTE(SUBSTITUTE(SUBSTITUTE(SUBSTITUTE(SUBSTITUTE(dados_coletados!Z226, " Da ", " da "), " De ", " de "), " Do ", " do "), " Dos ", " dos "), " Das ", " das ")</f>
        <v>Gessyca Vanessa Pereira</v>
      </c>
      <c r="J228" s="6" t="str">
        <f>SUBSTITUTE(SUBSTITUTE(SUBSTITUTE(SUBSTITUTE(SUBSTITUTE(dados_coletados!AA226, " Da ", " da "), " De ", " de "), " Do ", " do "), " Dos ", " dos "), " Das ", " das ")</f>
        <v>Reginaldo Costa de Souza</v>
      </c>
    </row>
    <row r="229" spans="9:10" ht="15.75" x14ac:dyDescent="0.25">
      <c r="I229" s="6" t="str">
        <f>SUBSTITUTE(SUBSTITUTE(SUBSTITUTE(SUBSTITUTE(SUBSTITUTE(dados_coletados!Z227, " Da ", " da "), " De ", " de "), " Do ", " do "), " Dos ", " dos "), " Das ", " das ")</f>
        <v>Gleiciane Sousa Ferreira</v>
      </c>
      <c r="J229" s="6" t="str">
        <f>SUBSTITUTE(SUBSTITUTE(SUBSTITUTE(SUBSTITUTE(SUBSTITUTE(dados_coletados!AA227, " Da ", " da "), " De ", " de "), " Do ", " do "), " Dos ", " dos "), " Das ", " das ")</f>
        <v>Francinildo Viana Silva</v>
      </c>
    </row>
    <row r="230" spans="9:10" ht="15.75" x14ac:dyDescent="0.25">
      <c r="I230" s="6" t="str">
        <f>SUBSTITUTE(SUBSTITUTE(SUBSTITUTE(SUBSTITUTE(SUBSTITUTE(dados_coletados!Z228, " Da ", " da "), " De ", " de "), " Do ", " do "), " Dos ", " dos "), " Das ", " das ")</f>
        <v>Ana Valeria Melo de Menezes</v>
      </c>
      <c r="J230" s="6" t="str">
        <f>SUBSTITUTE(SUBSTITUTE(SUBSTITUTE(SUBSTITUTE(SUBSTITUTE(dados_coletados!AA228, " Da ", " da "), " De ", " de "), " Do ", " do "), " Dos ", " dos "), " Das ", " das ")</f>
        <v>Raudson Ronney da Silva Marques</v>
      </c>
    </row>
    <row r="231" spans="9:10" ht="15.75" x14ac:dyDescent="0.25">
      <c r="I231" s="6" t="str">
        <f>SUBSTITUTE(SUBSTITUTE(SUBSTITUTE(SUBSTITUTE(SUBSTITUTE(dados_coletados!Z229, " Da ", " da "), " De ", " de "), " Do ", " do "), " Dos ", " dos "), " Das ", " das ")</f>
        <v>Rita Maria Maranhão Cardoso</v>
      </c>
      <c r="J231" s="6" t="str">
        <f>SUBSTITUTE(SUBSTITUTE(SUBSTITUTE(SUBSTITUTE(SUBSTITUTE(dados_coletados!AA229, " Da ", " da "), " De ", " de "), " Do ", " do "), " Dos ", " dos "), " Das ", " das ")</f>
        <v>Victor Luis Rodrigues Correa</v>
      </c>
    </row>
    <row r="232" spans="9:10" ht="15.75" x14ac:dyDescent="0.25">
      <c r="I232" s="6" t="str">
        <f>SUBSTITUTE(SUBSTITUTE(SUBSTITUTE(SUBSTITUTE(SUBSTITUTE(dados_coletados!Z230, " Da ", " da "), " De ", " de "), " Do ", " do "), " Dos ", " dos "), " Das ", " das ")</f>
        <v>Priscila de Brito Meneses</v>
      </c>
      <c r="J232" s="6" t="str">
        <f>SUBSTITUTE(SUBSTITUTE(SUBSTITUTE(SUBSTITUTE(SUBSTITUTE(dados_coletados!AA230, " Da ", " da "), " De ", " de "), " Do ", " do "), " Dos ", " dos "), " Das ", " das ")</f>
        <v>Celio Pereira Martins</v>
      </c>
    </row>
    <row r="233" spans="9:10" ht="15.75" x14ac:dyDescent="0.25">
      <c r="I233" s="6" t="str">
        <f>SUBSTITUTE(SUBSTITUTE(SUBSTITUTE(SUBSTITUTE(SUBSTITUTE(dados_coletados!Z231, " Da ", " da "), " De ", " de "), " Do ", " do "), " Dos ", " dos "), " Das ", " das ")</f>
        <v>Joseane Araujo Sousa</v>
      </c>
      <c r="J233" s="6" t="str">
        <f>SUBSTITUTE(SUBSTITUTE(SUBSTITUTE(SUBSTITUTE(SUBSTITUTE(dados_coletados!AA231, " Da ", " da "), " De ", " de "), " Do ", " do "), " Dos ", " dos "), " Das ", " das ")</f>
        <v>Gerson Rodrigues Silva Ribeiro</v>
      </c>
    </row>
    <row r="234" spans="9:10" ht="15.75" x14ac:dyDescent="0.25">
      <c r="I234" s="6" t="str">
        <f>SUBSTITUTE(SUBSTITUTE(SUBSTITUTE(SUBSTITUTE(SUBSTITUTE(dados_coletados!Z232, " Da ", " da "), " De ", " de "), " Do ", " do "), " Dos ", " dos "), " Das ", " das ")</f>
        <v>Nubia Cristina Oliveira Reis Freire</v>
      </c>
      <c r="J234" s="6" t="str">
        <f>SUBSTITUTE(SUBSTITUTE(SUBSTITUTE(SUBSTITUTE(SUBSTITUTE(dados_coletados!AA232, " Da ", " da "), " De ", " de "), " Do ", " do "), " Dos ", " dos "), " Das ", " das ")</f>
        <v>Ricardo Estevam Tavares Freire</v>
      </c>
    </row>
    <row r="235" spans="9:10" ht="15.75" x14ac:dyDescent="0.25">
      <c r="I235" s="6" t="str">
        <f>SUBSTITUTE(SUBSTITUTE(SUBSTITUTE(SUBSTITUTE(SUBSTITUTE(dados_coletados!Z233, " Da ", " da "), " De ", " de "), " Do ", " do "), " Dos ", " dos "), " Das ", " das ")</f>
        <v>Thalita Pestana de Sena</v>
      </c>
      <c r="J235" s="6" t="str">
        <f>SUBSTITUTE(SUBSTITUTE(SUBSTITUTE(SUBSTITUTE(SUBSTITUTE(dados_coletados!AA233, " Da ", " da "), " De ", " de "), " Do ", " do "), " Dos ", " dos "), " Das ", " das ")</f>
        <v>Diego Silva</v>
      </c>
    </row>
    <row r="236" spans="9:10" ht="15.75" x14ac:dyDescent="0.25">
      <c r="I236" s="6" t="str">
        <f>SUBSTITUTE(SUBSTITUTE(SUBSTITUTE(SUBSTITUTE(SUBSTITUTE(dados_coletados!Z234, " Da ", " da "), " De ", " de "), " Do ", " do "), " Dos ", " dos "), " Das ", " das ")</f>
        <v>Maria Alice Santos Magalhães</v>
      </c>
      <c r="J236" s="6" t="str">
        <f>SUBSTITUTE(SUBSTITUTE(SUBSTITUTE(SUBSTITUTE(SUBSTITUTE(dados_coletados!AA234, " Da ", " da "), " De ", " de "), " Do ", " do "), " Dos ", " dos "), " Das ", " das ")</f>
        <v>Glistian Anderson da Silva Santos</v>
      </c>
    </row>
    <row r="237" spans="9:10" ht="15.75" x14ac:dyDescent="0.25">
      <c r="I237" s="6" t="str">
        <f>SUBSTITUTE(SUBSTITUTE(SUBSTITUTE(SUBSTITUTE(SUBSTITUTE(dados_coletados!Z235, " Da ", " da "), " De ", " de "), " Do ", " do "), " Dos ", " dos "), " Das ", " das ")</f>
        <v>Thalyane dos Santos Melo</v>
      </c>
      <c r="J237" s="6" t="str">
        <f>SUBSTITUTE(SUBSTITUTE(SUBSTITUTE(SUBSTITUTE(SUBSTITUTE(dados_coletados!AA235, " Da ", " da "), " De ", " de "), " Do ", " do "), " Dos ", " dos "), " Das ", " das ")</f>
        <v>Cleiton Barros</v>
      </c>
    </row>
    <row r="238" spans="9:10" ht="15.75" x14ac:dyDescent="0.25">
      <c r="I238" s="6" t="str">
        <f>SUBSTITUTE(SUBSTITUTE(SUBSTITUTE(SUBSTITUTE(SUBSTITUTE(dados_coletados!Z236, " Da ", " da "), " De ", " de "), " Do ", " do "), " Dos ", " dos "), " Das ", " das ")</f>
        <v>Aleandra Monteiro Dias</v>
      </c>
      <c r="J238" s="6" t="str">
        <f>SUBSTITUTE(SUBSTITUTE(SUBSTITUTE(SUBSTITUTE(SUBSTITUTE(dados_coletados!AA236, " Da ", " da "), " De ", " de "), " Do ", " do "), " Dos ", " dos "), " Das ", " das ")</f>
        <v>Renato dos Santos Correa</v>
      </c>
    </row>
    <row r="239" spans="9:10" ht="15.75" x14ac:dyDescent="0.25">
      <c r="I239" s="6" t="str">
        <f>SUBSTITUTE(SUBSTITUTE(SUBSTITUTE(SUBSTITUTE(SUBSTITUTE(dados_coletados!Z237, " Da ", " da "), " De ", " de "), " Do ", " do "), " Dos ", " dos "), " Das ", " das ")</f>
        <v>Amanda Araujo de Sousa</v>
      </c>
      <c r="J239" s="6" t="str">
        <f>SUBSTITUTE(SUBSTITUTE(SUBSTITUTE(SUBSTITUTE(SUBSTITUTE(dados_coletados!AA237, " Da ", " da "), " De ", " de "), " Do ", " do "), " Dos ", " dos "), " Das ", " das ")</f>
        <v>Antonio Carlos Moraes Gomes</v>
      </c>
    </row>
    <row r="240" spans="9:10" ht="15.75" x14ac:dyDescent="0.25">
      <c r="I240" s="6" t="str">
        <f>SUBSTITUTE(SUBSTITUTE(SUBSTITUTE(SUBSTITUTE(SUBSTITUTE(dados_coletados!Z238, " Da ", " da "), " De ", " de "), " Do ", " do "), " Dos ", " dos "), " Das ", " das ")</f>
        <v>Gislene dos Passos Barbosa</v>
      </c>
      <c r="J240" s="6" t="str">
        <f>SUBSTITUTE(SUBSTITUTE(SUBSTITUTE(SUBSTITUTE(SUBSTITUTE(dados_coletados!AA238, " Da ", " da "), " De ", " de "), " Do ", " do "), " Dos ", " dos "), " Das ", " das ")</f>
        <v>Jose Ribamar Richarlisson da Silva Marques</v>
      </c>
    </row>
    <row r="241" spans="9:10" ht="15.75" x14ac:dyDescent="0.25">
      <c r="I241" s="6" t="str">
        <f>SUBSTITUTE(SUBSTITUTE(SUBSTITUTE(SUBSTITUTE(SUBSTITUTE(dados_coletados!Z239, " Da ", " da "), " De ", " de "), " Do ", " do "), " Dos ", " dos "), " Das ", " das ")</f>
        <v>Ana Beatriz Silva Ramos</v>
      </c>
      <c r="J241" s="6" t="str">
        <f>SUBSTITUTE(SUBSTITUTE(SUBSTITUTE(SUBSTITUTE(SUBSTITUTE(dados_coletados!AA239, " Da ", " da "), " De ", " de "), " Do ", " do "), " Dos ", " dos "), " Das ", " das ")</f>
        <v>Railson Silva Barbosa</v>
      </c>
    </row>
    <row r="242" spans="9:10" ht="15.75" x14ac:dyDescent="0.25">
      <c r="I242" s="6" t="str">
        <f>SUBSTITUTE(SUBSTITUTE(SUBSTITUTE(SUBSTITUTE(SUBSTITUTE(dados_coletados!Z240, " Da ", " da "), " De ", " de "), " Do ", " do "), " Dos ", " dos "), " Das ", " das ")</f>
        <v>Joseline Nascimento da Silva Martins</v>
      </c>
      <c r="J242" s="6" t="str">
        <f>SUBSTITUTE(SUBSTITUTE(SUBSTITUTE(SUBSTITUTE(SUBSTITUTE(dados_coletados!AA240, " Da ", " da "), " De ", " de "), " Do ", " do "), " Dos ", " dos "), " Das ", " das ")</f>
        <v>Ronalde Costa Martins</v>
      </c>
    </row>
    <row r="243" spans="9:10" ht="15.75" x14ac:dyDescent="0.25">
      <c r="I243" s="6" t="str">
        <f>SUBSTITUTE(SUBSTITUTE(SUBSTITUTE(SUBSTITUTE(SUBSTITUTE(dados_coletados!Z241, " Da ", " da "), " De ", " de "), " Do ", " do "), " Dos ", " dos "), " Das ", " das ")</f>
        <v>Joseline Nascimento da Silva Martins</v>
      </c>
      <c r="J243" s="6" t="str">
        <f>SUBSTITUTE(SUBSTITUTE(SUBSTITUTE(SUBSTITUTE(SUBSTITUTE(dados_coletados!AA241, " Da ", " da "), " De ", " de "), " Do ", " do "), " Dos ", " dos "), " Das ", " das ")</f>
        <v>Ronalde Costa Martins</v>
      </c>
    </row>
    <row r="244" spans="9:10" ht="15.75" x14ac:dyDescent="0.25">
      <c r="I244" s="6" t="str">
        <f>SUBSTITUTE(SUBSTITUTE(SUBSTITUTE(SUBSTITUTE(SUBSTITUTE(dados_coletados!Z242, " Da ", " da "), " De ", " de "), " Do ", " do "), " Dos ", " dos "), " Das ", " das ")</f>
        <v>Izabelle dos Santos Ramos</v>
      </c>
      <c r="J244" s="6" t="str">
        <f>SUBSTITUTE(SUBSTITUTE(SUBSTITUTE(SUBSTITUTE(SUBSTITUTE(dados_coletados!AA242, " Da ", " da "), " De ", " de "), " Do ", " do "), " Dos ", " dos "), " Das ", " das ")</f>
        <v>Jonoel de Jesus Queiroz</v>
      </c>
    </row>
    <row r="245" spans="9:10" ht="15.75" x14ac:dyDescent="0.25">
      <c r="I245" s="6" t="str">
        <f>SUBSTITUTE(SUBSTITUTE(SUBSTITUTE(SUBSTITUTE(SUBSTITUTE(dados_coletados!Z243, " Da ", " da "), " De ", " de "), " Do ", " do "), " Dos ", " dos "), " Das ", " das ")</f>
        <v>Milene de Cassia Mendonca Moreira</v>
      </c>
      <c r="J245" s="6" t="str">
        <f>SUBSTITUTE(SUBSTITUTE(SUBSTITUTE(SUBSTITUTE(SUBSTITUTE(dados_coletados!AA243, " Da ", " da "), " De ", " de "), " Do ", " do "), " Dos ", " dos "), " Das ", " das ")</f>
        <v>Diego Henrique Sousa Marques</v>
      </c>
    </row>
    <row r="246" spans="9:10" ht="15.75" x14ac:dyDescent="0.25">
      <c r="I246" s="6" t="str">
        <f>SUBSTITUTE(SUBSTITUTE(SUBSTITUTE(SUBSTITUTE(SUBSTITUTE(dados_coletados!Z244, " Da ", " da "), " De ", " de "), " Do ", " do "), " Dos ", " dos "), " Das ", " das ")</f>
        <v>Rafaela Ribeiro Martins</v>
      </c>
      <c r="J246" s="6" t="str">
        <f>SUBSTITUTE(SUBSTITUTE(SUBSTITUTE(SUBSTITUTE(SUBSTITUTE(dados_coletados!AA244, " Da ", " da "), " De ", " de "), " Do ", " do "), " Dos ", " dos "), " Das ", " das ")</f>
        <v>Elvys dos Santos Araujo</v>
      </c>
    </row>
    <row r="247" spans="9:10" ht="15.75" x14ac:dyDescent="0.25">
      <c r="I247" s="6" t="str">
        <f>SUBSTITUTE(SUBSTITUTE(SUBSTITUTE(SUBSTITUTE(SUBSTITUTE(dados_coletados!Z245, " Da ", " da "), " De ", " de "), " Do ", " do "), " Dos ", " dos "), " Das ", " das ")</f>
        <v>Dayanne Sousa Costa Fernandes</v>
      </c>
      <c r="J247" s="6" t="str">
        <f>SUBSTITUTE(SUBSTITUTE(SUBSTITUTE(SUBSTITUTE(SUBSTITUTE(dados_coletados!AA245, " Da ", " da "), " De ", " de "), " Do ", " do "), " Dos ", " dos "), " Das ", " das ")</f>
        <v>Gilson Ruy Nascimento Fernandes</v>
      </c>
    </row>
    <row r="248" spans="9:10" ht="15.75" x14ac:dyDescent="0.25">
      <c r="I248" s="6" t="str">
        <f>SUBSTITUTE(SUBSTITUTE(SUBSTITUTE(SUBSTITUTE(SUBSTITUTE(dados_coletados!Z246, " Da ", " da "), " De ", " de "), " Do ", " do "), " Dos ", " dos "), " Das ", " das ")</f>
        <v>Alanna Rodrigues Nascimento</v>
      </c>
      <c r="J248" s="6" t="str">
        <f>SUBSTITUTE(SUBSTITUTE(SUBSTITUTE(SUBSTITUTE(SUBSTITUTE(dados_coletados!AA246, " Da ", " da "), " De ", " de "), " Do ", " do "), " Dos ", " dos "), " Das ", " das ")</f>
        <v>Juarez da Conceição Rodrigues</v>
      </c>
    </row>
    <row r="249" spans="9:10" ht="15.75" x14ac:dyDescent="0.25">
      <c r="I249" s="6" t="str">
        <f>SUBSTITUTE(SUBSTITUTE(SUBSTITUTE(SUBSTITUTE(SUBSTITUTE(dados_coletados!Z247, " Da ", " da "), " De ", " de "), " Do ", " do "), " Dos ", " dos "), " Das ", " das ")</f>
        <v>Rakyelma Araujo Ribeiro Pires</v>
      </c>
      <c r="J249" s="6" t="str">
        <f>SUBSTITUTE(SUBSTITUTE(SUBSTITUTE(SUBSTITUTE(SUBSTITUTE(dados_coletados!AA247, " Da ", " da "), " De ", " de "), " Do ", " do "), " Dos ", " dos "), " Das ", " das ")</f>
        <v>Carlos Alberto Oliveira Pires</v>
      </c>
    </row>
    <row r="250" spans="9:10" ht="15.75" x14ac:dyDescent="0.25">
      <c r="I250" s="6" t="str">
        <f>SUBSTITUTE(SUBSTITUTE(SUBSTITUTE(SUBSTITUTE(SUBSTITUTE(dados_coletados!Z248, " Da ", " da "), " De ", " de "), " Do ", " do "), " Dos ", " dos "), " Das ", " das ")</f>
        <v>Nadia Surama Sousa Vaz</v>
      </c>
      <c r="J250" s="6" t="str">
        <f>SUBSTITUTE(SUBSTITUTE(SUBSTITUTE(SUBSTITUTE(SUBSTITUTE(dados_coletados!AA248, " Da ", " da "), " De ", " de "), " Do ", " do "), " Dos ", " dos "), " Das ", " das ")</f>
        <v>Dionisio da Silva Moreira Junior</v>
      </c>
    </row>
    <row r="251" spans="9:10" ht="15.75" x14ac:dyDescent="0.25">
      <c r="I251" s="6" t="str">
        <f>SUBSTITUTE(SUBSTITUTE(SUBSTITUTE(SUBSTITUTE(SUBSTITUTE(dados_coletados!Z249, " Da ", " da "), " De ", " de "), " Do ", " do "), " Dos ", " dos "), " Das ", " das ")</f>
        <v>Tamara dos Santos Mendes</v>
      </c>
      <c r="J251" s="6" t="str">
        <f>SUBSTITUTE(SUBSTITUTE(SUBSTITUTE(SUBSTITUTE(SUBSTITUTE(dados_coletados!AA249, " Da ", " da "), " De ", " de "), " Do ", " do "), " Dos ", " dos "), " Das ", " das ")</f>
        <v>Nilson Carlos Costa dos Santos</v>
      </c>
    </row>
    <row r="252" spans="9:10" ht="15.75" x14ac:dyDescent="0.25">
      <c r="I252" s="6" t="str">
        <f>SUBSTITUTE(SUBSTITUTE(SUBSTITUTE(SUBSTITUTE(SUBSTITUTE(dados_coletados!Z250, " Da ", " da "), " De ", " de "), " Do ", " do "), " Dos ", " dos "), " Das ", " das ")</f>
        <v>Carla Mayra Souza da Silva</v>
      </c>
      <c r="J252" s="6" t="str">
        <f>SUBSTITUTE(SUBSTITUTE(SUBSTITUTE(SUBSTITUTE(SUBSTITUTE(dados_coletados!AA250, " Da ", " da "), " De ", " de "), " Do ", " do "), " Dos ", " dos "), " Das ", " das ")</f>
        <v/>
      </c>
    </row>
    <row r="253" spans="9:10" ht="15.75" x14ac:dyDescent="0.25">
      <c r="I253" s="6" t="str">
        <f>SUBSTITUTE(SUBSTITUTE(SUBSTITUTE(SUBSTITUTE(SUBSTITUTE(dados_coletados!Z251, " Da ", " da "), " De ", " de "), " Do ", " do "), " Dos ", " dos "), " Das ", " das ")</f>
        <v>Alcirene Silva Figueredo</v>
      </c>
      <c r="J253" s="6" t="str">
        <f>SUBSTITUTE(SUBSTITUTE(SUBSTITUTE(SUBSTITUTE(SUBSTITUTE(dados_coletados!AA251, " Da ", " da "), " De ", " de "), " Do ", " do "), " Dos ", " dos "), " Das ", " das ")</f>
        <v>Edilson Pires da Graca</v>
      </c>
    </row>
    <row r="254" spans="9:10" ht="15.75" x14ac:dyDescent="0.25">
      <c r="I254" s="6" t="str">
        <f>SUBSTITUTE(SUBSTITUTE(SUBSTITUTE(SUBSTITUTE(SUBSTITUTE(dados_coletados!Z252, " Da ", " da "), " De ", " de "), " Do ", " do "), " Dos ", " dos "), " Das ", " das ")</f>
        <v>Elinunes Pimenta</v>
      </c>
      <c r="J254" s="6" t="str">
        <f>SUBSTITUTE(SUBSTITUTE(SUBSTITUTE(SUBSTITUTE(SUBSTITUTE(dados_coletados!AA252, " Da ", " da "), " De ", " de "), " Do ", " do "), " Dos ", " dos "), " Das ", " das ")</f>
        <v>Josue Juan Goncalves Silva</v>
      </c>
    </row>
    <row r="255" spans="9:10" ht="15.75" x14ac:dyDescent="0.25">
      <c r="I255" s="6" t="str">
        <f>SUBSTITUTE(SUBSTITUTE(SUBSTITUTE(SUBSTITUTE(SUBSTITUTE(dados_coletados!Z253, " Da ", " da "), " De ", " de "), " Do ", " do "), " Dos ", " dos "), " Das ", " das ")</f>
        <v>Carliane Viana Amaral</v>
      </c>
      <c r="J255" s="6" t="str">
        <f>SUBSTITUTE(SUBSTITUTE(SUBSTITUTE(SUBSTITUTE(SUBSTITUTE(dados_coletados!AA253, " Da ", " da "), " De ", " de "), " Do ", " do "), " Dos ", " dos "), " Das ", " das ")</f>
        <v/>
      </c>
    </row>
    <row r="256" spans="9:10" ht="15.75" x14ac:dyDescent="0.25">
      <c r="I256" s="6" t="str">
        <f>SUBSTITUTE(SUBSTITUTE(SUBSTITUTE(SUBSTITUTE(SUBSTITUTE(dados_coletados!Z254, " Da ", " da "), " De ", " de "), " Do ", " do "), " Dos ", " dos "), " Das ", " das ")</f>
        <v>Mahendra Thamyres Bastos Maranhao</v>
      </c>
      <c r="J256" s="6" t="str">
        <f>SUBSTITUTE(SUBSTITUTE(SUBSTITUTE(SUBSTITUTE(SUBSTITUTE(dados_coletados!AA254, " Da ", " da "), " De ", " de "), " Do ", " do "), " Dos ", " dos "), " Das ", " das ")</f>
        <v>Danilo Alves do Nascimento Oliveira</v>
      </c>
    </row>
    <row r="257" spans="9:10" ht="15.75" x14ac:dyDescent="0.25">
      <c r="I257" s="6" t="str">
        <f>SUBSTITUTE(SUBSTITUTE(SUBSTITUTE(SUBSTITUTE(SUBSTITUTE(dados_coletados!Z255, " Da ", " da "), " De ", " de "), " Do ", " do "), " Dos ", " dos "), " Das ", " das ")</f>
        <v>Simone Tereza das Neves</v>
      </c>
      <c r="J257" s="6" t="str">
        <f>SUBSTITUTE(SUBSTITUTE(SUBSTITUTE(SUBSTITUTE(SUBSTITUTE(dados_coletados!AA255, " Da ", " da "), " De ", " de "), " Do ", " do "), " Dos ", " dos "), " Das ", " das ")</f>
        <v>Jose Mauro Castro Corvelo</v>
      </c>
    </row>
    <row r="258" spans="9:10" ht="15.75" x14ac:dyDescent="0.25">
      <c r="I258" s="6" t="str">
        <f>SUBSTITUTE(SUBSTITUTE(SUBSTITUTE(SUBSTITUTE(SUBSTITUTE(dados_coletados!Z256, " Da ", " da "), " De ", " de "), " Do ", " do "), " Dos ", " dos "), " Das ", " das ")</f>
        <v>Solange Rodrigues Coelho</v>
      </c>
      <c r="J258" s="6" t="str">
        <f>SUBSTITUTE(SUBSTITUTE(SUBSTITUTE(SUBSTITUTE(SUBSTITUTE(dados_coletados!AA256, " Da ", " da "), " De ", " de "), " Do ", " do "), " Dos ", " dos "), " Das ", " das ")</f>
        <v>Duvalber Ferreira dos Santos Marques</v>
      </c>
    </row>
    <row r="259" spans="9:10" ht="15.75" x14ac:dyDescent="0.25">
      <c r="I259" s="6" t="str">
        <f>SUBSTITUTE(SUBSTITUTE(SUBSTITUTE(SUBSTITUTE(SUBSTITUTE(dados_coletados!Z257, " Da ", " da "), " De ", " de "), " Do ", " do "), " Dos ", " dos "), " Das ", " das ")</f>
        <v>Rafaela Ribeiro Martins</v>
      </c>
      <c r="J259" s="6" t="str">
        <f>SUBSTITUTE(SUBSTITUTE(SUBSTITUTE(SUBSTITUTE(SUBSTITUTE(dados_coletados!AA257, " Da ", " da "), " De ", " de "), " Do ", " do "), " Dos ", " dos "), " Das ", " das ")</f>
        <v>Jailson Coúlho Martins</v>
      </c>
    </row>
    <row r="260" spans="9:10" ht="15.75" x14ac:dyDescent="0.25">
      <c r="I260" s="6" t="str">
        <f>SUBSTITUTE(SUBSTITUTE(SUBSTITUTE(SUBSTITUTE(SUBSTITUTE(dados_coletados!Z258, " Da ", " da "), " De ", " de "), " Do ", " do "), " Dos ", " dos "), " Das ", " das ")</f>
        <v>Maria da Graça Gomes Maciel</v>
      </c>
      <c r="J260" s="6" t="str">
        <f>SUBSTITUTE(SUBSTITUTE(SUBSTITUTE(SUBSTITUTE(SUBSTITUTE(dados_coletados!AA258, " Da ", " da "), " De ", " de "), " Do ", " do "), " Dos ", " dos "), " Das ", " das ")</f>
        <v>Jardeson Carvalho Mendes</v>
      </c>
    </row>
    <row r="261" spans="9:10" ht="15.75" x14ac:dyDescent="0.25">
      <c r="I261" s="6" t="str">
        <f>SUBSTITUTE(SUBSTITUTE(SUBSTITUTE(SUBSTITUTE(SUBSTITUTE(dados_coletados!Z259, " Da ", " da "), " De ", " de "), " Do ", " do "), " Dos ", " dos "), " Das ", " das ")</f>
        <v>Dila dos Santos Amorim</v>
      </c>
      <c r="J261" s="6" t="str">
        <f>SUBSTITUTE(SUBSTITUTE(SUBSTITUTE(SUBSTITUTE(SUBSTITUTE(dados_coletados!AA259, " Da ", " da "), " De ", " de "), " Do ", " do "), " Dos ", " dos "), " Das ", " das ")</f>
        <v>Raimundo Nonato Serra</v>
      </c>
    </row>
    <row r="262" spans="9:10" ht="15.75" x14ac:dyDescent="0.25">
      <c r="I262" s="6" t="str">
        <f>SUBSTITUTE(SUBSTITUTE(SUBSTITUTE(SUBSTITUTE(SUBSTITUTE(dados_coletados!Z260, " Da ", " da "), " De ", " de "), " Do ", " do "), " Dos ", " dos "), " Das ", " das ")</f>
        <v>Taciane Mendes Pinto</v>
      </c>
      <c r="J262" s="6" t="str">
        <f>SUBSTITUTE(SUBSTITUTE(SUBSTITUTE(SUBSTITUTE(SUBSTITUTE(dados_coletados!AA260, " Da ", " da "), " De ", " de "), " Do ", " do "), " Dos ", " dos "), " Das ", " das ")</f>
        <v>Wykson Ney Muniz Pinheiro</v>
      </c>
    </row>
    <row r="263" spans="9:10" ht="15.75" x14ac:dyDescent="0.25">
      <c r="I263" s="6" t="str">
        <f>SUBSTITUTE(SUBSTITUTE(SUBSTITUTE(SUBSTITUTE(SUBSTITUTE(dados_coletados!Z261, " Da ", " da "), " De ", " de "), " Do ", " do "), " Dos ", " dos "), " Das ", " das ")</f>
        <v>Carla Bianca Gonçalves Serra</v>
      </c>
      <c r="J263" s="6" t="str">
        <f>SUBSTITUTE(SUBSTITUTE(SUBSTITUTE(SUBSTITUTE(SUBSTITUTE(dados_coletados!AA261, " Da ", " da "), " De ", " de "), " Do ", " do "), " Dos ", " dos "), " Das ", " das ")</f>
        <v>Kassio Nogueira da Costa</v>
      </c>
    </row>
    <row r="264" spans="9:10" ht="15.75" x14ac:dyDescent="0.25">
      <c r="I264" s="6" t="str">
        <f>SUBSTITUTE(SUBSTITUTE(SUBSTITUTE(SUBSTITUTE(SUBSTITUTE(dados_coletados!Z262, " Da ", " da "), " De ", " de "), " Do ", " do "), " Dos ", " dos "), " Das ", " das ")</f>
        <v>Etna Roxane Barros Ferreira</v>
      </c>
      <c r="J264" s="6" t="str">
        <f>SUBSTITUTE(SUBSTITUTE(SUBSTITUTE(SUBSTITUTE(SUBSTITUTE(dados_coletados!AA262, " Da ", " da "), " De ", " de "), " Do ", " do "), " Dos ", " dos "), " Das ", " das ")</f>
        <v>Lauanderson dos Santos</v>
      </c>
    </row>
    <row r="265" spans="9:10" ht="15.75" x14ac:dyDescent="0.25">
      <c r="I265" s="6" t="str">
        <f>SUBSTITUTE(SUBSTITUTE(SUBSTITUTE(SUBSTITUTE(SUBSTITUTE(dados_coletados!Z263, " Da ", " da "), " De ", " de "), " Do ", " do "), " Dos ", " dos "), " Das ", " das ")</f>
        <v>Thacila Kristinny Bezerra Garcia</v>
      </c>
      <c r="J265" s="6" t="str">
        <f>SUBSTITUTE(SUBSTITUTE(SUBSTITUTE(SUBSTITUTE(SUBSTITUTE(dados_coletados!AA263, " Da ", " da "), " De ", " de "), " Do ", " do "), " Dos ", " dos "), " Das ", " das ")</f>
        <v>Alyson Souza de Assis</v>
      </c>
    </row>
    <row r="266" spans="9:10" ht="15.75" x14ac:dyDescent="0.25">
      <c r="I266" s="6" t="str">
        <f>SUBSTITUTE(SUBSTITUTE(SUBSTITUTE(SUBSTITUTE(SUBSTITUTE(dados_coletados!Z264, " Da ", " da "), " De ", " de "), " Do ", " do "), " Dos ", " dos "), " Das ", " das ")</f>
        <v>Vanessa de Sa Meneses</v>
      </c>
      <c r="J266" s="6" t="str">
        <f>SUBSTITUTE(SUBSTITUTE(SUBSTITUTE(SUBSTITUTE(SUBSTITUTE(dados_coletados!AA264, " Da ", " da "), " De ", " de "), " Do ", " do "), " Dos ", " dos "), " Das ", " das ")</f>
        <v>Michael Jackson Saraiva Rodrigues</v>
      </c>
    </row>
    <row r="267" spans="9:10" ht="15.75" x14ac:dyDescent="0.25">
      <c r="I267" s="6" t="str">
        <f>SUBSTITUTE(SUBSTITUTE(SUBSTITUTE(SUBSTITUTE(SUBSTITUTE(dados_coletados!Z265, " Da ", " da "), " De ", " de "), " Do ", " do "), " Dos ", " dos "), " Das ", " das ")</f>
        <v>Adriana Kellen de Jesus Corrúa</v>
      </c>
      <c r="J267" s="6" t="str">
        <f>SUBSTITUTE(SUBSTITUTE(SUBSTITUTE(SUBSTITUTE(SUBSTITUTE(dados_coletados!AA265, " Da ", " da "), " De ", " de "), " Do ", " do "), " Dos ", " dos "), " Das ", " das ")</f>
        <v>Gabriel Silva Ferreira da Luz</v>
      </c>
    </row>
    <row r="268" spans="9:10" ht="15.75" x14ac:dyDescent="0.25">
      <c r="I268" s="6" t="str">
        <f>SUBSTITUTE(SUBSTITUTE(SUBSTITUTE(SUBSTITUTE(SUBSTITUTE(dados_coletados!Z266, " Da ", " da "), " De ", " de "), " Do ", " do "), " Dos ", " dos "), " Das ", " das ")</f>
        <v>Juliana Alves Oliveira da Silva</v>
      </c>
      <c r="J268" s="6" t="str">
        <f>SUBSTITUTE(SUBSTITUTE(SUBSTITUTE(SUBSTITUTE(SUBSTITUTE(dados_coletados!AA266, " Da ", " da "), " De ", " de "), " Do ", " do "), " Dos ", " dos "), " Das ", " das ")</f>
        <v>Ermando de Oliveira da Silva Filho</v>
      </c>
    </row>
    <row r="269" spans="9:10" ht="15.75" x14ac:dyDescent="0.25">
      <c r="I269" s="6" t="str">
        <f>SUBSTITUTE(SUBSTITUTE(SUBSTITUTE(SUBSTITUTE(SUBSTITUTE(dados_coletados!Z267, " Da ", " da "), " De ", " de "), " Do ", " do "), " Dos ", " dos "), " Das ", " das ")</f>
        <v>Nathalya Alves Goncalves</v>
      </c>
      <c r="J269" s="6" t="str">
        <f>SUBSTITUTE(SUBSTITUTE(SUBSTITUTE(SUBSTITUTE(SUBSTITUTE(dados_coletados!AA267, " Da ", " da "), " De ", " de "), " Do ", " do "), " Dos ", " dos "), " Das ", " das ")</f>
        <v>Anderson Alcantara Lima</v>
      </c>
    </row>
    <row r="270" spans="9:10" ht="15.75" x14ac:dyDescent="0.25">
      <c r="I270" s="6" t="str">
        <f>SUBSTITUTE(SUBSTITUTE(SUBSTITUTE(SUBSTITUTE(SUBSTITUTE(dados_coletados!Z268, " Da ", " da "), " De ", " de "), " Do ", " do "), " Dos ", " dos "), " Das ", " das ")</f>
        <v>Darliane Silva Oliveira</v>
      </c>
      <c r="J270" s="6" t="str">
        <f>SUBSTITUTE(SUBSTITUTE(SUBSTITUTE(SUBSTITUTE(SUBSTITUTE(dados_coletados!AA268, " Da ", " da "), " De ", " de "), " Do ", " do "), " Dos ", " dos "), " Das ", " das ")</f>
        <v>Macssuel Gusmao Pereira</v>
      </c>
    </row>
    <row r="271" spans="9:10" ht="15.75" x14ac:dyDescent="0.25">
      <c r="I271" s="6" t="str">
        <f>SUBSTITUTE(SUBSTITUTE(SUBSTITUTE(SUBSTITUTE(SUBSTITUTE(dados_coletados!Z269, " Da ", " da "), " De ", " de "), " Do ", " do "), " Dos ", " dos "), " Das ", " das ")</f>
        <v>Angelly Santos da Silva Santos</v>
      </c>
      <c r="J271" s="6" t="str">
        <f>SUBSTITUTE(SUBSTITUTE(SUBSTITUTE(SUBSTITUTE(SUBSTITUTE(dados_coletados!AA269, " Da ", " da "), " De ", " de "), " Do ", " do "), " Dos ", " dos "), " Das ", " das ")</f>
        <v>Wellington Lima Maciel</v>
      </c>
    </row>
    <row r="272" spans="9:10" ht="15.75" x14ac:dyDescent="0.25">
      <c r="I272" s="6" t="str">
        <f>SUBSTITUTE(SUBSTITUTE(SUBSTITUTE(SUBSTITUTE(SUBSTITUTE(dados_coletados!Z270, " Da ", " da "), " De ", " de "), " Do ", " do "), " Dos ", " dos "), " Das ", " das ")</f>
        <v>Maria de Fatima Viana da Silva</v>
      </c>
      <c r="J272" s="6" t="str">
        <f>SUBSTITUTE(SUBSTITUTE(SUBSTITUTE(SUBSTITUTE(SUBSTITUTE(dados_coletados!AA270, " Da ", " da "), " De ", " de "), " Do ", " do "), " Dos ", " dos "), " Das ", " das ")</f>
        <v>Wendson Silva Ribeiro</v>
      </c>
    </row>
    <row r="273" spans="9:10" ht="15.75" x14ac:dyDescent="0.25">
      <c r="I273" s="6" t="str">
        <f>SUBSTITUTE(SUBSTITUTE(SUBSTITUTE(SUBSTITUTE(SUBSTITUTE(dados_coletados!Z271, " Da ", " da "), " De ", " de "), " Do ", " do "), " Dos ", " dos "), " Das ", " das ")</f>
        <v>Naagilla Silva Sampaio Correia</v>
      </c>
      <c r="J273" s="6" t="str">
        <f>SUBSTITUTE(SUBSTITUTE(SUBSTITUTE(SUBSTITUTE(SUBSTITUTE(dados_coletados!AA271, " Da ", " da "), " De ", " de "), " Do ", " do "), " Dos ", " dos "), " Das ", " das ")</f>
        <v>Marcone George Moreira Correia</v>
      </c>
    </row>
    <row r="274" spans="9:10" ht="15.75" x14ac:dyDescent="0.25">
      <c r="I274" s="6" t="str">
        <f>SUBSTITUTE(SUBSTITUTE(SUBSTITUTE(SUBSTITUTE(SUBSTITUTE(dados_coletados!Z272, " Da ", " da "), " De ", " de "), " Do ", " do "), " Dos ", " dos "), " Das ", " das ")</f>
        <v>Tahgella Serra Pinheiro</v>
      </c>
      <c r="J274" s="6" t="str">
        <f>SUBSTITUTE(SUBSTITUTE(SUBSTITUTE(SUBSTITUTE(SUBSTITUTE(dados_coletados!AA272, " Da ", " da "), " De ", " de "), " Do ", " do "), " Dos ", " dos "), " Das ", " das ")</f>
        <v>Henrique Caldas Ramos</v>
      </c>
    </row>
    <row r="275" spans="9:10" ht="15.75" x14ac:dyDescent="0.25">
      <c r="I275" s="6" t="str">
        <f>SUBSTITUTE(SUBSTITUTE(SUBSTITUTE(SUBSTITUTE(SUBSTITUTE(dados_coletados!Z273, " Da ", " da "), " De ", " de "), " Do ", " do "), " Dos ", " dos "), " Das ", " das ")</f>
        <v>Leidiane Ribeiro Martins</v>
      </c>
      <c r="J275" s="6" t="str">
        <f>SUBSTITUTE(SUBSTITUTE(SUBSTITUTE(SUBSTITUTE(SUBSTITUTE(dados_coletados!AA273, " Da ", " da "), " De ", " de "), " Do ", " do "), " Dos ", " dos "), " Das ", " das ")</f>
        <v>Marcos Paulo de Oliveira Ribeiro</v>
      </c>
    </row>
    <row r="276" spans="9:10" ht="15.75" x14ac:dyDescent="0.25">
      <c r="I276" s="6" t="str">
        <f>SUBSTITUTE(SUBSTITUTE(SUBSTITUTE(SUBSTITUTE(SUBSTITUTE(dados_coletados!Z274, " Da ", " da "), " De ", " de "), " Do ", " do "), " Dos ", " dos "), " Das ", " das ")</f>
        <v>Ana Leidia Mendes da Silva</v>
      </c>
      <c r="J276" s="6" t="str">
        <f>SUBSTITUTE(SUBSTITUTE(SUBSTITUTE(SUBSTITUTE(SUBSTITUTE(dados_coletados!AA274, " Da ", " da "), " De ", " de "), " Do ", " do "), " Dos ", " dos "), " Das ", " das ")</f>
        <v>Gilson Costa Soares</v>
      </c>
    </row>
    <row r="277" spans="9:10" ht="15.75" x14ac:dyDescent="0.25">
      <c r="I277" s="6" t="str">
        <f>SUBSTITUTE(SUBSTITUTE(SUBSTITUTE(SUBSTITUTE(SUBSTITUTE(dados_coletados!Z275, " Da ", " da "), " De ", " de "), " Do ", " do "), " Dos ", " dos "), " Das ", " das ")</f>
        <v>Pollyanna de Jesus Luzo</v>
      </c>
      <c r="J277" s="6" t="str">
        <f>SUBSTITUTE(SUBSTITUTE(SUBSTITUTE(SUBSTITUTE(SUBSTITUTE(dados_coletados!AA275, " Da ", " da "), " De ", " de "), " Do ", " do "), " Dos ", " dos "), " Das ", " das ")</f>
        <v>Félix Emiliano Araújo Azevedo</v>
      </c>
    </row>
    <row r="278" spans="9:10" ht="15.75" x14ac:dyDescent="0.25">
      <c r="I278" s="6" t="str">
        <f>SUBSTITUTE(SUBSTITUTE(SUBSTITUTE(SUBSTITUTE(SUBSTITUTE(dados_coletados!Z276, " Da ", " da "), " De ", " de "), " Do ", " do "), " Dos ", " dos "), " Das ", " das ")</f>
        <v>Creudismar Azevedo de Azevedo</v>
      </c>
      <c r="J278" s="6" t="str">
        <f>SUBSTITUTE(SUBSTITUTE(SUBSTITUTE(SUBSTITUTE(SUBSTITUTE(dados_coletados!AA276, " Da ", " da "), " De ", " de "), " Do ", " do "), " Dos ", " dos "), " Das ", " das ")</f>
        <v>Celso Domingos Cruz Azevedo</v>
      </c>
    </row>
    <row r="279" spans="9:10" ht="15.75" x14ac:dyDescent="0.25">
      <c r="I279" s="6" t="str">
        <f>SUBSTITUTE(SUBSTITUTE(SUBSTITUTE(SUBSTITUTE(SUBSTITUTE(dados_coletados!Z277, " Da ", " da "), " De ", " de "), " Do ", " do "), " Dos ", " dos "), " Das ", " das ")</f>
        <v>Taynara Ingrid da Silva dos Santos</v>
      </c>
      <c r="J279" s="6" t="str">
        <f>SUBSTITUTE(SUBSTITUTE(SUBSTITUTE(SUBSTITUTE(SUBSTITUTE(dados_coletados!AA277, " Da ", " da "), " De ", " de "), " Do ", " do "), " Dos ", " dos "), " Das ", " das ")</f>
        <v>Wygner Ramos Viegas</v>
      </c>
    </row>
    <row r="280" spans="9:10" ht="15.75" x14ac:dyDescent="0.25">
      <c r="I280" s="6" t="str">
        <f>SUBSTITUTE(SUBSTITUTE(SUBSTITUTE(SUBSTITUTE(SUBSTITUTE(dados_coletados!Z278, " Da ", " da "), " De ", " de "), " Do ", " do "), " Dos ", " dos "), " Das ", " das ")</f>
        <v>Deuziane Cardoso Mesquita</v>
      </c>
      <c r="J280" s="6" t="str">
        <f>SUBSTITUTE(SUBSTITUTE(SUBSTITUTE(SUBSTITUTE(SUBSTITUTE(dados_coletados!AA278, " Da ", " da "), " De ", " de "), " Do ", " do "), " Dos ", " dos "), " Das ", " das ")</f>
        <v>Gracinaldo Mesquita</v>
      </c>
    </row>
    <row r="281" spans="9:10" ht="15.75" x14ac:dyDescent="0.25">
      <c r="I281" s="6" t="str">
        <f>SUBSTITUTE(SUBSTITUTE(SUBSTITUTE(dados_coletados!I279, " Da ", " da "), " De ", " de "), " Do ", " do ")</f>
        <v/>
      </c>
    </row>
    <row r="282" spans="9:10" ht="15.75" x14ac:dyDescent="0.25">
      <c r="I282" s="6" t="str">
        <f>SUBSTITUTE(SUBSTITUTE(SUBSTITUTE(dados_coletados!I280, " Da ", " da "), " De ", " de "), " Do ", " do ")</f>
        <v/>
      </c>
    </row>
    <row r="283" spans="9:10" ht="15.75" x14ac:dyDescent="0.25">
      <c r="I283" s="6" t="str">
        <f>SUBSTITUTE(SUBSTITUTE(SUBSTITUTE(dados_coletados!I281, " Da ", " da "), " De ", " de "), " Do ", " do ")</f>
        <v/>
      </c>
    </row>
    <row r="284" spans="9:10" ht="15.75" x14ac:dyDescent="0.25">
      <c r="I284" s="6" t="str">
        <f>SUBSTITUTE(SUBSTITUTE(SUBSTITUTE(dados_coletados!I282, " Da ", " da "), " De ", " de "), " Do ", " do ")</f>
        <v/>
      </c>
    </row>
    <row r="285" spans="9:10" ht="15.75" x14ac:dyDescent="0.25">
      <c r="I285" s="6" t="str">
        <f>SUBSTITUTE(SUBSTITUTE(SUBSTITUTE(dados_coletados!I283, " Da ", " da "), " De ", " de "), " Do ", " do ")</f>
        <v/>
      </c>
    </row>
    <row r="286" spans="9:10" ht="15.75" x14ac:dyDescent="0.25">
      <c r="I286" s="6" t="str">
        <f>SUBSTITUTE(SUBSTITUTE(SUBSTITUTE(dados_coletados!I284, " Da ", " da "), " De ", " de "), " Do ", " do ")</f>
        <v/>
      </c>
    </row>
    <row r="287" spans="9:10" ht="15.75" x14ac:dyDescent="0.25">
      <c r="I287" s="6" t="str">
        <f>SUBSTITUTE(SUBSTITUTE(SUBSTITUTE(dados_coletados!I285, " Da ", " da "), " De ", " de "), " Do ", " do ")</f>
        <v/>
      </c>
    </row>
    <row r="288" spans="9:10" ht="15.75" x14ac:dyDescent="0.25">
      <c r="I288" s="6" t="str">
        <f>SUBSTITUTE(SUBSTITUTE(SUBSTITUTE(dados_coletados!I286, " Da ", " da "), " De ", " de "), " Do ", " do ")</f>
        <v/>
      </c>
    </row>
    <row r="289" spans="9:9" ht="15.75" x14ac:dyDescent="0.25">
      <c r="I289" s="6" t="str">
        <f>SUBSTITUTE(SUBSTITUTE(SUBSTITUTE(dados_coletados!I287, " Da ", " da "), " De ", " de "), " Do ", " do ")</f>
        <v/>
      </c>
    </row>
    <row r="290" spans="9:9" ht="15.75" x14ac:dyDescent="0.25">
      <c r="I290" s="6" t="str">
        <f>SUBSTITUTE(SUBSTITUTE(SUBSTITUTE(dados_coletados!I288, " Da ", " da "), " De ", " de "), " Do ", " do ")</f>
        <v/>
      </c>
    </row>
    <row r="291" spans="9:9" ht="15.75" x14ac:dyDescent="0.25">
      <c r="I291" s="6" t="str">
        <f>SUBSTITUTE(SUBSTITUTE(SUBSTITUTE(dados_coletados!I289, " Da ", " da "), " De ", " de "), " Do ", " do ")</f>
        <v/>
      </c>
    </row>
    <row r="292" spans="9:9" ht="15.75" x14ac:dyDescent="0.25">
      <c r="I292" s="6" t="str">
        <f>SUBSTITUTE(SUBSTITUTE(SUBSTITUTE(dados_coletados!I290, " Da ", " da "), " De ", " de "), " Do ", " do ")</f>
        <v/>
      </c>
    </row>
    <row r="293" spans="9:9" ht="15.75" x14ac:dyDescent="0.25">
      <c r="I293" s="6" t="str">
        <f>SUBSTITUTE(SUBSTITUTE(SUBSTITUTE(dados_coletados!I291, " Da ", " da "), " De ", " de "), " Do ", " do ")</f>
        <v/>
      </c>
    </row>
    <row r="294" spans="9:9" ht="15.75" x14ac:dyDescent="0.25">
      <c r="I294" s="6" t="str">
        <f>SUBSTITUTE(SUBSTITUTE(SUBSTITUTE(dados_coletados!I292, " Da ", " da "), " De ", " de "), " Do ", " do ")</f>
        <v/>
      </c>
    </row>
    <row r="295" spans="9:9" ht="15.75" x14ac:dyDescent="0.25">
      <c r="I295" s="6" t="str">
        <f>SUBSTITUTE(SUBSTITUTE(SUBSTITUTE(dados_coletados!I293, " Da ", " da "), " De ", " de "), " Do ", " do ")</f>
        <v/>
      </c>
    </row>
    <row r="296" spans="9:9" ht="15.75" x14ac:dyDescent="0.25">
      <c r="I296" s="6" t="str">
        <f>SUBSTITUTE(SUBSTITUTE(SUBSTITUTE(dados_coletados!I294, " Da ", " da "), " De ", " de "), " Do ", " do ")</f>
        <v/>
      </c>
    </row>
    <row r="297" spans="9:9" ht="15.75" x14ac:dyDescent="0.25">
      <c r="I297" s="6" t="str">
        <f>SUBSTITUTE(SUBSTITUTE(SUBSTITUTE(dados_coletados!I295, " Da ", " da "), " De ", " de "), " Do ", " do ")</f>
        <v/>
      </c>
    </row>
    <row r="298" spans="9:9" ht="15.75" x14ac:dyDescent="0.25">
      <c r="I298" s="6" t="str">
        <f>SUBSTITUTE(SUBSTITUTE(SUBSTITUTE(dados_coletados!I296, " Da ", " da "), " De ", " de "), " Do ", " do ")</f>
        <v/>
      </c>
    </row>
    <row r="299" spans="9:9" ht="15.75" x14ac:dyDescent="0.25">
      <c r="I299" s="6" t="str">
        <f>SUBSTITUTE(SUBSTITUTE(SUBSTITUTE(dados_coletados!I297, " Da ", " da "), " De ", " de "), " Do ", " do ")</f>
        <v/>
      </c>
    </row>
    <row r="300" spans="9:9" ht="15.75" x14ac:dyDescent="0.25">
      <c r="I300" s="6" t="str">
        <f>SUBSTITUTE(SUBSTITUTE(SUBSTITUTE(dados_coletados!I298, " Da ", " da "), " De ", " de "), " Do ", " do ")</f>
        <v/>
      </c>
    </row>
    <row r="301" spans="9:9" ht="15.75" x14ac:dyDescent="0.25">
      <c r="I301" s="6" t="str">
        <f>SUBSTITUTE(SUBSTITUTE(SUBSTITUTE(dados_coletados!I299, " Da ", " da "), " De ", " de "), " Do ", " do ")</f>
        <v/>
      </c>
    </row>
    <row r="302" spans="9:9" ht="15.75" x14ac:dyDescent="0.25">
      <c r="I302" s="6" t="str">
        <f>SUBSTITUTE(SUBSTITUTE(SUBSTITUTE(dados_coletados!I300, " Da ", " da "), " De ", " de "), " Do ", " do ")</f>
        <v/>
      </c>
    </row>
    <row r="303" spans="9:9" ht="15.75" x14ac:dyDescent="0.25">
      <c r="I303" s="6" t="str">
        <f>SUBSTITUTE(SUBSTITUTE(SUBSTITUTE(dados_coletados!I301, " Da ", " da "), " De ", " de "), " Do ", " do ")</f>
        <v/>
      </c>
    </row>
    <row r="304" spans="9:9" ht="15.75" x14ac:dyDescent="0.25">
      <c r="I304" s="6" t="str">
        <f>SUBSTITUTE(SUBSTITUTE(SUBSTITUTE(dados_coletados!I302, " Da ", " da "), " De ", " de "), " Do ", " do ")</f>
        <v/>
      </c>
    </row>
    <row r="305" spans="9:9" ht="15.75" x14ac:dyDescent="0.25">
      <c r="I305" s="6" t="str">
        <f>SUBSTITUTE(SUBSTITUTE(SUBSTITUTE(dados_coletados!I303, " Da ", " da "), " De ", " de "), " Do ", " do ")</f>
        <v/>
      </c>
    </row>
    <row r="306" spans="9:9" ht="15.75" x14ac:dyDescent="0.25">
      <c r="I306" s="6" t="str">
        <f>SUBSTITUTE(SUBSTITUTE(SUBSTITUTE(dados_coletados!I304, " Da ", " da "), " De ", " de "), " Do ", " do ")</f>
        <v/>
      </c>
    </row>
    <row r="307" spans="9:9" ht="15.75" x14ac:dyDescent="0.25">
      <c r="I307" s="6" t="str">
        <f>SUBSTITUTE(SUBSTITUTE(SUBSTITUTE(dados_coletados!I305, " Da ", " da "), " De ", " de "), " Do ", " do ")</f>
        <v/>
      </c>
    </row>
    <row r="308" spans="9:9" ht="15.75" x14ac:dyDescent="0.25">
      <c r="I308" s="6" t="str">
        <f>SUBSTITUTE(SUBSTITUTE(SUBSTITUTE(dados_coletados!I306, " Da ", " da "), " De ", " de "), " Do ", " do ")</f>
        <v/>
      </c>
    </row>
    <row r="309" spans="9:9" ht="15.75" x14ac:dyDescent="0.25">
      <c r="I309" s="6" t="str">
        <f>SUBSTITUTE(SUBSTITUTE(SUBSTITUTE(dados_coletados!I307, " Da ", " da "), " De ", " de "), " Do ", " do ")</f>
        <v/>
      </c>
    </row>
    <row r="310" spans="9:9" ht="15.75" x14ac:dyDescent="0.25">
      <c r="I310" s="6" t="str">
        <f>SUBSTITUTE(SUBSTITUTE(SUBSTITUTE(dados_coletados!I308, " Da ", " da "), " De ", " de "), " Do ", " do ")</f>
        <v/>
      </c>
    </row>
    <row r="311" spans="9:9" ht="15.75" x14ac:dyDescent="0.25">
      <c r="I311" s="6" t="str">
        <f>SUBSTITUTE(SUBSTITUTE(SUBSTITUTE(dados_coletados!I309, " Da ", " da "), " De ", " de "), " Do ", " do ")</f>
        <v/>
      </c>
    </row>
    <row r="312" spans="9:9" ht="15.75" x14ac:dyDescent="0.25">
      <c r="I312" s="6" t="str">
        <f>SUBSTITUTE(SUBSTITUTE(SUBSTITUTE(dados_coletados!I310, " Da ", " da "), " De ", " de "), " Do ", " do ")</f>
        <v/>
      </c>
    </row>
    <row r="313" spans="9:9" ht="15.75" x14ac:dyDescent="0.25">
      <c r="I313" s="6" t="str">
        <f>SUBSTITUTE(SUBSTITUTE(SUBSTITUTE(dados_coletados!I311, " Da ", " da "), " De ", " de "), " Do ", " do ")</f>
        <v/>
      </c>
    </row>
    <row r="314" spans="9:9" ht="15.75" x14ac:dyDescent="0.25">
      <c r="I314" s="6" t="str">
        <f>SUBSTITUTE(SUBSTITUTE(SUBSTITUTE(dados_coletados!I312, " Da ", " da "), " De ", " de "), " Do ", " do ")</f>
        <v/>
      </c>
    </row>
    <row r="315" spans="9:9" ht="15.75" x14ac:dyDescent="0.25">
      <c r="I315" s="6" t="str">
        <f>SUBSTITUTE(SUBSTITUTE(SUBSTITUTE(dados_coletados!I313, " Da ", " da "), " De ", " de "), " Do ", " do ")</f>
        <v/>
      </c>
    </row>
    <row r="316" spans="9:9" ht="15.75" x14ac:dyDescent="0.25">
      <c r="I316" s="6" t="str">
        <f>SUBSTITUTE(SUBSTITUTE(SUBSTITUTE(dados_coletados!I314, " Da ", " da "), " De ", " de "), " Do ", " do ")</f>
        <v/>
      </c>
    </row>
    <row r="317" spans="9:9" ht="15.75" x14ac:dyDescent="0.25">
      <c r="I317" s="6" t="str">
        <f>SUBSTITUTE(SUBSTITUTE(SUBSTITUTE(dados_coletados!I315, " Da ", " da "), " De ", " de "), " Do ", " do ")</f>
        <v/>
      </c>
    </row>
    <row r="318" spans="9:9" ht="15.75" x14ac:dyDescent="0.25">
      <c r="I318" s="6" t="str">
        <f>SUBSTITUTE(SUBSTITUTE(SUBSTITUTE(dados_coletados!I316, " Da ", " da "), " De ", " de "), " Do ", " do ")</f>
        <v/>
      </c>
    </row>
    <row r="319" spans="9:9" ht="15.75" x14ac:dyDescent="0.25">
      <c r="I319" s="6" t="str">
        <f>SUBSTITUTE(SUBSTITUTE(SUBSTITUTE(dados_coletados!I317, " Da ", " da "), " De ", " de "), " Do ", " do ")</f>
        <v/>
      </c>
    </row>
    <row r="320" spans="9:9" ht="15.75" x14ac:dyDescent="0.25">
      <c r="I320" s="6" t="str">
        <f>SUBSTITUTE(SUBSTITUTE(SUBSTITUTE(dados_coletados!I318, " Da ", " da "), " De ", " de "), " Do ", " do ")</f>
        <v/>
      </c>
    </row>
    <row r="321" spans="9:9" ht="15.75" x14ac:dyDescent="0.25">
      <c r="I321" s="6" t="str">
        <f>SUBSTITUTE(SUBSTITUTE(SUBSTITUTE(dados_coletados!I319, " Da ", " da "), " De ", " de "), " Do ", " do ")</f>
        <v/>
      </c>
    </row>
    <row r="322" spans="9:9" ht="15.75" x14ac:dyDescent="0.25">
      <c r="I322" s="6" t="str">
        <f>SUBSTITUTE(SUBSTITUTE(SUBSTITUTE(dados_coletados!I320, " Da ", " da "), " De ", " de "), " Do ", " do ")</f>
        <v/>
      </c>
    </row>
    <row r="323" spans="9:9" ht="15.75" x14ac:dyDescent="0.25">
      <c r="I323" s="6" t="str">
        <f>SUBSTITUTE(SUBSTITUTE(SUBSTITUTE(dados_coletados!I321, " Da ", " da "), " De ", " de "), " Do ", " do ")</f>
        <v/>
      </c>
    </row>
    <row r="324" spans="9:9" ht="15.75" x14ac:dyDescent="0.25">
      <c r="I324" s="6" t="str">
        <f>SUBSTITUTE(SUBSTITUTE(SUBSTITUTE(dados_coletados!I322, " Da ", " da "), " De ", " de "), " Do ", " do ")</f>
        <v/>
      </c>
    </row>
    <row r="325" spans="9:9" ht="15.75" x14ac:dyDescent="0.25">
      <c r="I325" s="6" t="str">
        <f>SUBSTITUTE(SUBSTITUTE(SUBSTITUTE(dados_coletados!I323, " Da ", " da "), " De ", " de "), " Do ", " do ")</f>
        <v/>
      </c>
    </row>
    <row r="326" spans="9:9" ht="15.75" x14ac:dyDescent="0.25">
      <c r="I326" s="6" t="str">
        <f>SUBSTITUTE(SUBSTITUTE(SUBSTITUTE(dados_coletados!I324, " Da ", " da "), " De ", " de "), " Do ", " do ")</f>
        <v/>
      </c>
    </row>
    <row r="327" spans="9:9" ht="15.75" x14ac:dyDescent="0.25">
      <c r="I327" s="6" t="str">
        <f>SUBSTITUTE(SUBSTITUTE(SUBSTITUTE(dados_coletados!I325, " Da ", " da "), " De ", " de "), " Do ", " do ")</f>
        <v/>
      </c>
    </row>
    <row r="328" spans="9:9" ht="15.75" x14ac:dyDescent="0.25">
      <c r="I328" s="6" t="str">
        <f>SUBSTITUTE(SUBSTITUTE(SUBSTITUTE(dados_coletados!I326, " Da ", " da "), " De ", " de "), " Do ", " do ")</f>
        <v/>
      </c>
    </row>
    <row r="329" spans="9:9" ht="15.75" x14ac:dyDescent="0.25">
      <c r="I329" s="6" t="str">
        <f>SUBSTITUTE(SUBSTITUTE(SUBSTITUTE(dados_coletados!I327, " Da ", " da "), " De ", " de "), " Do ", " do ")</f>
        <v/>
      </c>
    </row>
    <row r="330" spans="9:9" ht="15.75" x14ac:dyDescent="0.25">
      <c r="I330" s="6" t="str">
        <f>SUBSTITUTE(SUBSTITUTE(SUBSTITUTE(dados_coletados!I328, " Da ", " da "), " De ", " de "), " Do ", " do ")</f>
        <v/>
      </c>
    </row>
    <row r="331" spans="9:9" ht="15.75" x14ac:dyDescent="0.25">
      <c r="I331" s="6" t="str">
        <f>SUBSTITUTE(SUBSTITUTE(SUBSTITUTE(dados_coletados!I329, " Da ", " da "), " De ", " de "), " Do ", " do ")</f>
        <v/>
      </c>
    </row>
    <row r="332" spans="9:9" ht="15.75" x14ac:dyDescent="0.25">
      <c r="I332" s="6" t="str">
        <f>SUBSTITUTE(SUBSTITUTE(SUBSTITUTE(dados_coletados!I330, " Da ", " da "), " De ", " de "), " Do ", " do ")</f>
        <v/>
      </c>
    </row>
    <row r="333" spans="9:9" ht="15.75" x14ac:dyDescent="0.25">
      <c r="I333" s="6" t="str">
        <f>SUBSTITUTE(SUBSTITUTE(SUBSTITUTE(dados_coletados!I331, " Da ", " da "), " De ", " de "), " Do ", " do ")</f>
        <v/>
      </c>
    </row>
    <row r="334" spans="9:9" ht="15.75" x14ac:dyDescent="0.25">
      <c r="I334" s="6" t="str">
        <f>SUBSTITUTE(SUBSTITUTE(SUBSTITUTE(dados_coletados!I332, " Da ", " da "), " De ", " de "), " Do ", " do ")</f>
        <v/>
      </c>
    </row>
    <row r="335" spans="9:9" ht="15.75" x14ac:dyDescent="0.25">
      <c r="I335" s="6" t="str">
        <f>SUBSTITUTE(SUBSTITUTE(SUBSTITUTE(dados_coletados!I333, " Da ", " da "), " De ", " de "), " Do ", " do ")</f>
        <v/>
      </c>
    </row>
    <row r="336" spans="9:9" ht="15.75" x14ac:dyDescent="0.25">
      <c r="I336" s="6" t="str">
        <f>SUBSTITUTE(SUBSTITUTE(SUBSTITUTE(dados_coletados!I334, " Da ", " da "), " De ", " de "), " Do ", " do ")</f>
        <v/>
      </c>
    </row>
    <row r="337" spans="9:9" ht="15.75" x14ac:dyDescent="0.25">
      <c r="I337" s="6" t="str">
        <f>SUBSTITUTE(SUBSTITUTE(SUBSTITUTE(dados_coletados!I335, " Da ", " da "), " De ", " de "), " Do ", " do ")</f>
        <v/>
      </c>
    </row>
    <row r="338" spans="9:9" ht="15.75" x14ac:dyDescent="0.25">
      <c r="I338" s="6" t="str">
        <f>SUBSTITUTE(SUBSTITUTE(SUBSTITUTE(dados_coletados!I336, " Da ", " da "), " De ", " de "), " Do ", " do ")</f>
        <v/>
      </c>
    </row>
    <row r="339" spans="9:9" ht="15.75" x14ac:dyDescent="0.25">
      <c r="I339" s="6" t="str">
        <f>SUBSTITUTE(SUBSTITUTE(SUBSTITUTE(dados_coletados!I337, " Da ", " da "), " De ", " de "), " Do ", " do ")</f>
        <v/>
      </c>
    </row>
    <row r="340" spans="9:9" ht="15.75" x14ac:dyDescent="0.25">
      <c r="I340" s="6" t="str">
        <f>SUBSTITUTE(SUBSTITUTE(SUBSTITUTE(dados_coletados!I338, " Da ", " da "), " De ", " de "), " Do ", " do ")</f>
        <v/>
      </c>
    </row>
    <row r="341" spans="9:9" ht="15.75" x14ac:dyDescent="0.25">
      <c r="I341" s="6" t="str">
        <f>SUBSTITUTE(SUBSTITUTE(SUBSTITUTE(dados_coletados!I339, " Da ", " da "), " De ", " de "), " Do ", " do ")</f>
        <v/>
      </c>
    </row>
    <row r="342" spans="9:9" ht="15.75" x14ac:dyDescent="0.25">
      <c r="I342" s="6" t="str">
        <f>SUBSTITUTE(SUBSTITUTE(SUBSTITUTE(dados_coletados!I340, " Da ", " da "), " De ", " de "), " Do ", " do ")</f>
        <v/>
      </c>
    </row>
    <row r="343" spans="9:9" ht="15.75" x14ac:dyDescent="0.25">
      <c r="I343" s="6" t="str">
        <f>SUBSTITUTE(SUBSTITUTE(SUBSTITUTE(dados_coletados!I341, " Da ", " da "), " De ", " de "), " Do ", " do ")</f>
        <v/>
      </c>
    </row>
    <row r="344" spans="9:9" ht="15.75" x14ac:dyDescent="0.25">
      <c r="I344" s="6" t="str">
        <f>SUBSTITUTE(SUBSTITUTE(SUBSTITUTE(dados_coletados!I342, " Da ", " da "), " De ", " de "), " Do ", " do ")</f>
        <v/>
      </c>
    </row>
    <row r="345" spans="9:9" ht="15.75" x14ac:dyDescent="0.25">
      <c r="I345" s="6" t="str">
        <f>SUBSTITUTE(SUBSTITUTE(SUBSTITUTE(dados_coletados!I343, " Da ", " da "), " De ", " de "), " Do ", " do ")</f>
        <v/>
      </c>
    </row>
    <row r="346" spans="9:9" ht="15.75" x14ac:dyDescent="0.25">
      <c r="I346" s="6" t="str">
        <f>SUBSTITUTE(SUBSTITUTE(SUBSTITUTE(dados_coletados!I344, " Da ", " da "), " De ", " de "), " Do ", " do ")</f>
        <v/>
      </c>
    </row>
    <row r="347" spans="9:9" ht="15.75" x14ac:dyDescent="0.25">
      <c r="I347" s="6" t="str">
        <f>SUBSTITUTE(SUBSTITUTE(SUBSTITUTE(dados_coletados!I345, " Da ", " da "), " De ", " de "), " Do ", " do ")</f>
        <v/>
      </c>
    </row>
    <row r="348" spans="9:9" ht="15.75" x14ac:dyDescent="0.25">
      <c r="I348" s="6" t="str">
        <f>SUBSTITUTE(SUBSTITUTE(SUBSTITUTE(dados_coletados!I346, " Da ", " da "), " De ", " de "), " Do ", " do ")</f>
        <v/>
      </c>
    </row>
    <row r="349" spans="9:9" ht="15.75" x14ac:dyDescent="0.25">
      <c r="I349" s="6" t="str">
        <f>SUBSTITUTE(SUBSTITUTE(SUBSTITUTE(dados_coletados!I347, " Da ", " da "), " De ", " de "), " Do ", " do ")</f>
        <v/>
      </c>
    </row>
    <row r="350" spans="9:9" ht="15.75" x14ac:dyDescent="0.25">
      <c r="I350" s="6" t="str">
        <f>SUBSTITUTE(SUBSTITUTE(SUBSTITUTE(dados_coletados!I348, " Da ", " da "), " De ", " de "), " Do ", " do ")</f>
        <v/>
      </c>
    </row>
    <row r="351" spans="9:9" ht="15.75" x14ac:dyDescent="0.25">
      <c r="I351" s="6" t="str">
        <f>SUBSTITUTE(SUBSTITUTE(SUBSTITUTE(dados_coletados!I349, " Da ", " da "), " De ", " de "), " Do ", " do ")</f>
        <v/>
      </c>
    </row>
    <row r="352" spans="9:9" ht="15.75" x14ac:dyDescent="0.25">
      <c r="I352" s="6" t="str">
        <f>SUBSTITUTE(SUBSTITUTE(SUBSTITUTE(dados_coletados!I350, " Da ", " da "), " De ", " de "), " Do ", " do ")</f>
        <v/>
      </c>
    </row>
    <row r="353" spans="9:9" ht="15.75" x14ac:dyDescent="0.25">
      <c r="I353" s="6" t="str">
        <f>SUBSTITUTE(SUBSTITUTE(SUBSTITUTE(dados_coletados!I351, " Da ", " da "), " De ", " de "), " Do ", " do ")</f>
        <v/>
      </c>
    </row>
    <row r="354" spans="9:9" ht="15.75" x14ac:dyDescent="0.25">
      <c r="I354" s="6" t="str">
        <f>SUBSTITUTE(SUBSTITUTE(SUBSTITUTE(dados_coletados!I352, " Da ", " da "), " De ", " de "), " Do ", " do ")</f>
        <v/>
      </c>
    </row>
    <row r="355" spans="9:9" ht="15.75" x14ac:dyDescent="0.25">
      <c r="I355" s="6" t="str">
        <f>SUBSTITUTE(SUBSTITUTE(SUBSTITUTE(dados_coletados!I353, " Da ", " da "), " De ", " de "), " Do ", " do ")</f>
        <v/>
      </c>
    </row>
    <row r="356" spans="9:9" ht="15.75" x14ac:dyDescent="0.25">
      <c r="I356" s="6" t="str">
        <f>SUBSTITUTE(SUBSTITUTE(SUBSTITUTE(dados_coletados!I354, " Da ", " da "), " De ", " de "), " Do ", " do ")</f>
        <v/>
      </c>
    </row>
    <row r="357" spans="9:9" ht="15.75" x14ac:dyDescent="0.25">
      <c r="I357" s="6" t="str">
        <f>SUBSTITUTE(SUBSTITUTE(SUBSTITUTE(dados_coletados!I355, " Da ", " da "), " De ", " de "), " Do ", " do ")</f>
        <v/>
      </c>
    </row>
    <row r="358" spans="9:9" ht="15.75" x14ac:dyDescent="0.25">
      <c r="I358" s="6" t="str">
        <f>SUBSTITUTE(SUBSTITUTE(SUBSTITUTE(dados_coletados!I356, " Da ", " da "), " De ", " de "), " Do ", " do ")</f>
        <v/>
      </c>
    </row>
    <row r="359" spans="9:9" ht="15.75" x14ac:dyDescent="0.25">
      <c r="I359" s="6" t="str">
        <f>SUBSTITUTE(SUBSTITUTE(SUBSTITUTE(dados_coletados!I357, " Da ", " da "), " De ", " de "), " Do ", " do ")</f>
        <v/>
      </c>
    </row>
    <row r="360" spans="9:9" ht="15.75" x14ac:dyDescent="0.25">
      <c r="I360" s="6" t="str">
        <f>SUBSTITUTE(SUBSTITUTE(SUBSTITUTE(dados_coletados!I358, " Da ", " da "), " De ", " de "), " Do ", " do ")</f>
        <v/>
      </c>
    </row>
    <row r="361" spans="9:9" ht="15.75" x14ac:dyDescent="0.25">
      <c r="I361" s="6" t="str">
        <f>SUBSTITUTE(SUBSTITUTE(SUBSTITUTE(dados_coletados!I359, " Da ", " da "), " De ", " de "), " Do ", " do ")</f>
        <v/>
      </c>
    </row>
    <row r="362" spans="9:9" ht="15.75" x14ac:dyDescent="0.25">
      <c r="I362" s="6" t="str">
        <f>SUBSTITUTE(SUBSTITUTE(SUBSTITUTE(dados_coletados!I360, " Da ", " da "), " De ", " de "), " Do ", " do ")</f>
        <v/>
      </c>
    </row>
    <row r="363" spans="9:9" ht="15.75" x14ac:dyDescent="0.25">
      <c r="I363" s="6" t="str">
        <f>SUBSTITUTE(SUBSTITUTE(SUBSTITUTE(dados_coletados!I361, " Da ", " da "), " De ", " de "), " Do ", " do ")</f>
        <v/>
      </c>
    </row>
    <row r="364" spans="9:9" ht="15.75" x14ac:dyDescent="0.25">
      <c r="I364" s="6" t="str">
        <f>SUBSTITUTE(SUBSTITUTE(SUBSTITUTE(dados_coletados!I362, " Da ", " da "), " De ", " de "), " Do ", " do ")</f>
        <v/>
      </c>
    </row>
    <row r="365" spans="9:9" ht="15.75" x14ac:dyDescent="0.25">
      <c r="I365" s="6" t="str">
        <f>SUBSTITUTE(SUBSTITUTE(SUBSTITUTE(dados_coletados!I363, " Da ", " da "), " De ", " de "), " Do ", " do ")</f>
        <v/>
      </c>
    </row>
    <row r="366" spans="9:9" ht="15.75" x14ac:dyDescent="0.25">
      <c r="I366" s="6" t="str">
        <f>SUBSTITUTE(SUBSTITUTE(SUBSTITUTE(dados_coletados!I364, " Da ", " da "), " De ", " de "), " Do ", " do ")</f>
        <v/>
      </c>
    </row>
    <row r="367" spans="9:9" ht="15.75" x14ac:dyDescent="0.25">
      <c r="I367" s="6" t="str">
        <f>SUBSTITUTE(SUBSTITUTE(SUBSTITUTE(dados_coletados!I365, " Da ", " da "), " De ", " de "), " Do ", " do ")</f>
        <v/>
      </c>
    </row>
    <row r="368" spans="9:9" ht="15.75" x14ac:dyDescent="0.25">
      <c r="I368" s="6" t="str">
        <f>SUBSTITUTE(SUBSTITUTE(SUBSTITUTE(dados_coletados!I366, " Da ", " da "), " De ", " de "), " Do ", " do ")</f>
        <v/>
      </c>
    </row>
    <row r="369" spans="9:9" ht="15.75" x14ac:dyDescent="0.25">
      <c r="I369" s="6" t="str">
        <f>SUBSTITUTE(SUBSTITUTE(SUBSTITUTE(dados_coletados!I367, " Da ", " da "), " De ", " de "), " Do ", " do ")</f>
        <v/>
      </c>
    </row>
    <row r="370" spans="9:9" ht="15.75" x14ac:dyDescent="0.25">
      <c r="I370" s="6" t="str">
        <f>SUBSTITUTE(SUBSTITUTE(SUBSTITUTE(dados_coletados!I368, " Da ", " da "), " De ", " de "), " Do ", " do ")</f>
        <v/>
      </c>
    </row>
    <row r="371" spans="9:9" ht="15.75" x14ac:dyDescent="0.25">
      <c r="I371" s="6" t="str">
        <f>SUBSTITUTE(SUBSTITUTE(SUBSTITUTE(dados_coletados!I369, " Da ", " da "), " De ", " de "), " Do ", " do ")</f>
        <v/>
      </c>
    </row>
    <row r="372" spans="9:9" ht="15.75" x14ac:dyDescent="0.25">
      <c r="I372" s="6" t="str">
        <f>SUBSTITUTE(SUBSTITUTE(SUBSTITUTE(dados_coletados!I370, " Da ", " da "), " De ", " de "), " Do ", " do ")</f>
        <v/>
      </c>
    </row>
    <row r="373" spans="9:9" ht="15.75" x14ac:dyDescent="0.25">
      <c r="I373" s="6" t="str">
        <f>SUBSTITUTE(SUBSTITUTE(SUBSTITUTE(dados_coletados!I371, " Da ", " da "), " De ", " de "), " Do ", " do ")</f>
        <v/>
      </c>
    </row>
    <row r="374" spans="9:9" ht="15.75" x14ac:dyDescent="0.25">
      <c r="I374" s="6" t="str">
        <f>SUBSTITUTE(SUBSTITUTE(SUBSTITUTE(dados_coletados!I372, " Da ", " da "), " De ", " de "), " Do ", " do ")</f>
        <v/>
      </c>
    </row>
    <row r="375" spans="9:9" ht="15.75" x14ac:dyDescent="0.25">
      <c r="I375" s="6" t="str">
        <f>SUBSTITUTE(SUBSTITUTE(SUBSTITUTE(dados_coletados!I373, " Da ", " da "), " De ", " de "), " Do ", " do ")</f>
        <v/>
      </c>
    </row>
    <row r="376" spans="9:9" ht="15.75" x14ac:dyDescent="0.25">
      <c r="I376" s="6" t="str">
        <f>SUBSTITUTE(SUBSTITUTE(SUBSTITUTE(dados_coletados!I374, " Da ", " da "), " De ", " de "), " Do ", " do ")</f>
        <v/>
      </c>
    </row>
    <row r="377" spans="9:9" ht="15.75" x14ac:dyDescent="0.25">
      <c r="I377" s="6" t="str">
        <f>SUBSTITUTE(SUBSTITUTE(SUBSTITUTE(dados_coletados!I375, " Da ", " da "), " De ", " de "), " Do ", " do ")</f>
        <v/>
      </c>
    </row>
    <row r="378" spans="9:9" ht="15.75" x14ac:dyDescent="0.25">
      <c r="I378" s="6" t="str">
        <f>SUBSTITUTE(SUBSTITUTE(SUBSTITUTE(dados_coletados!I376, " Da ", " da "), " De ", " de "), " Do ", " do ")</f>
        <v/>
      </c>
    </row>
    <row r="379" spans="9:9" ht="15.75" x14ac:dyDescent="0.25">
      <c r="I379" s="6" t="str">
        <f>SUBSTITUTE(SUBSTITUTE(SUBSTITUTE(dados_coletados!I377, " Da ", " da "), " De ", " de "), " Do ", " do ")</f>
        <v/>
      </c>
    </row>
    <row r="380" spans="9:9" ht="15.75" x14ac:dyDescent="0.25">
      <c r="I380" s="6" t="str">
        <f>SUBSTITUTE(SUBSTITUTE(SUBSTITUTE(dados_coletados!I378, " Da ", " da "), " De ", " de "), " Do ", " do ")</f>
        <v/>
      </c>
    </row>
    <row r="381" spans="9:9" ht="15.75" x14ac:dyDescent="0.25">
      <c r="I381" s="6" t="str">
        <f>SUBSTITUTE(SUBSTITUTE(SUBSTITUTE(dados_coletados!I379, " Da ", " da "), " De ", " de "), " Do ", " do ")</f>
        <v/>
      </c>
    </row>
    <row r="382" spans="9:9" ht="15.75" x14ac:dyDescent="0.25">
      <c r="I382" s="6" t="str">
        <f>SUBSTITUTE(SUBSTITUTE(SUBSTITUTE(dados_coletados!I380, " Da ", " da "), " De ", " de "), " Do ", " do ")</f>
        <v/>
      </c>
    </row>
    <row r="383" spans="9:9" ht="15.75" x14ac:dyDescent="0.25">
      <c r="I383" s="6" t="str">
        <f>SUBSTITUTE(SUBSTITUTE(SUBSTITUTE(dados_coletados!I381, " Da ", " da "), " De ", " de "), " Do ", " do ")</f>
        <v/>
      </c>
    </row>
    <row r="384" spans="9:9" ht="15.75" x14ac:dyDescent="0.25">
      <c r="I384" s="6" t="str">
        <f>SUBSTITUTE(SUBSTITUTE(SUBSTITUTE(dados_coletados!I382, " Da ", " da "), " De ", " de "), " Do ", " do ")</f>
        <v/>
      </c>
    </row>
    <row r="385" spans="9:9" ht="15.75" x14ac:dyDescent="0.25">
      <c r="I385" s="6" t="str">
        <f>SUBSTITUTE(SUBSTITUTE(SUBSTITUTE(dados_coletados!I383, " Da ", " da "), " De ", " de "), " Do ", " do ")</f>
        <v/>
      </c>
    </row>
    <row r="386" spans="9:9" ht="15.75" x14ac:dyDescent="0.25">
      <c r="I386" s="6" t="str">
        <f>SUBSTITUTE(SUBSTITUTE(SUBSTITUTE(dados_coletados!I384, " Da ", " da "), " De ", " de "), " Do ", " do ")</f>
        <v/>
      </c>
    </row>
    <row r="387" spans="9:9" ht="15.75" x14ac:dyDescent="0.25">
      <c r="I387" s="6" t="str">
        <f>SUBSTITUTE(SUBSTITUTE(SUBSTITUTE(dados_coletados!I385, " Da ", " da "), " De ", " de "), " Do ", " do ")</f>
        <v/>
      </c>
    </row>
    <row r="388" spans="9:9" ht="15.75" x14ac:dyDescent="0.25">
      <c r="I388" s="6" t="str">
        <f>SUBSTITUTE(SUBSTITUTE(SUBSTITUTE(dados_coletados!I386, " Da ", " da "), " De ", " de "), " Do ", " do ")</f>
        <v/>
      </c>
    </row>
    <row r="389" spans="9:9" ht="15.75" x14ac:dyDescent="0.25">
      <c r="I389" s="6" t="str">
        <f>SUBSTITUTE(SUBSTITUTE(SUBSTITUTE(dados_coletados!I387, " Da ", " da "), " De ", " de "), " Do ", " do ")</f>
        <v/>
      </c>
    </row>
    <row r="390" spans="9:9" ht="15.75" x14ac:dyDescent="0.25">
      <c r="I390" s="6" t="str">
        <f>SUBSTITUTE(SUBSTITUTE(SUBSTITUTE(dados_coletados!I388, " Da ", " da "), " De ", " de "), " Do ", " do ")</f>
        <v/>
      </c>
    </row>
    <row r="391" spans="9:9" ht="15.75" x14ac:dyDescent="0.25">
      <c r="I391" s="6" t="str">
        <f>SUBSTITUTE(SUBSTITUTE(SUBSTITUTE(dados_coletados!I389, " Da ", " da "), " De ", " de "), " Do ", " do ")</f>
        <v/>
      </c>
    </row>
    <row r="392" spans="9:9" ht="15.75" x14ac:dyDescent="0.25">
      <c r="I392" s="6" t="str">
        <f>SUBSTITUTE(SUBSTITUTE(SUBSTITUTE(dados_coletados!I390, " Da ", " da "), " De ", " de "), " Do ", " do ")</f>
        <v/>
      </c>
    </row>
    <row r="393" spans="9:9" ht="15.75" x14ac:dyDescent="0.25">
      <c r="I393" s="6" t="str">
        <f>SUBSTITUTE(SUBSTITUTE(SUBSTITUTE(dados_coletados!I391, " Da ", " da "), " De ", " de "), " Do ", " do ")</f>
        <v/>
      </c>
    </row>
    <row r="394" spans="9:9" ht="15.75" x14ac:dyDescent="0.25">
      <c r="I394" s="6" t="str">
        <f>SUBSTITUTE(SUBSTITUTE(SUBSTITUTE(dados_coletados!I392, " Da ", " da "), " De ", " de "), " Do ", " do ")</f>
        <v/>
      </c>
    </row>
    <row r="395" spans="9:9" ht="15.75" x14ac:dyDescent="0.25">
      <c r="I395" s="6" t="str">
        <f>SUBSTITUTE(SUBSTITUTE(SUBSTITUTE(dados_coletados!I393, " Da ", " da "), " De ", " de "), " Do ", " do ")</f>
        <v/>
      </c>
    </row>
    <row r="396" spans="9:9" ht="15.75" x14ac:dyDescent="0.25">
      <c r="I396" s="6" t="str">
        <f>SUBSTITUTE(SUBSTITUTE(SUBSTITUTE(dados_coletados!I394, " Da ", " da "), " De ", " de "), " Do ", " do ")</f>
        <v/>
      </c>
    </row>
    <row r="397" spans="9:9" ht="15.75" x14ac:dyDescent="0.25">
      <c r="I397" s="6" t="str">
        <f>SUBSTITUTE(SUBSTITUTE(SUBSTITUTE(dados_coletados!I395, " Da ", " da "), " De ", " de "), " Do ", " do ")</f>
        <v/>
      </c>
    </row>
    <row r="398" spans="9:9" ht="15.75" x14ac:dyDescent="0.25">
      <c r="I398" s="6" t="str">
        <f>SUBSTITUTE(SUBSTITUTE(SUBSTITUTE(dados_coletados!I396, " Da ", " da "), " De ", " de "), " Do ", " do ")</f>
        <v/>
      </c>
    </row>
    <row r="399" spans="9:9" ht="15.75" x14ac:dyDescent="0.25">
      <c r="I399" s="6" t="str">
        <f>SUBSTITUTE(SUBSTITUTE(SUBSTITUTE(dados_coletados!I397, " Da ", " da "), " De ", " de "), " Do ", " do ")</f>
        <v/>
      </c>
    </row>
    <row r="400" spans="9:9" ht="15.75" x14ac:dyDescent="0.25">
      <c r="I400" s="6" t="str">
        <f>SUBSTITUTE(SUBSTITUTE(SUBSTITUTE(dados_coletados!I398, " Da ", " da "), " De ", " de "), " Do ", " do ")</f>
        <v/>
      </c>
    </row>
    <row r="401" spans="9:9" ht="15.75" x14ac:dyDescent="0.25">
      <c r="I401" s="6" t="str">
        <f>SUBSTITUTE(SUBSTITUTE(SUBSTITUTE(dados_coletados!I399, " Da ", " da "), " De ", " de "), " Do ", " do ")</f>
        <v/>
      </c>
    </row>
    <row r="402" spans="9:9" ht="15.75" x14ac:dyDescent="0.25">
      <c r="I402" s="6" t="str">
        <f>SUBSTITUTE(SUBSTITUTE(SUBSTITUTE(dados_coletados!I400, " Da ", " da "), " De ", " de "), " Do ", " do ")</f>
        <v/>
      </c>
    </row>
    <row r="403" spans="9:9" ht="15.75" x14ac:dyDescent="0.25">
      <c r="I403" s="6" t="str">
        <f>SUBSTITUTE(SUBSTITUTE(SUBSTITUTE(dados_coletados!I401, " Da ", " da "), " De ", " de "), " Do ", " do ")</f>
        <v/>
      </c>
    </row>
    <row r="404" spans="9:9" ht="15.75" x14ac:dyDescent="0.25">
      <c r="I404" s="6" t="str">
        <f>SUBSTITUTE(SUBSTITUTE(SUBSTITUTE(dados_coletados!I402, " Da ", " da "), " De ", " de "), " Do ", " do ")</f>
        <v/>
      </c>
    </row>
    <row r="405" spans="9:9" ht="15.75" x14ac:dyDescent="0.25">
      <c r="I405" s="6" t="str">
        <f>SUBSTITUTE(SUBSTITUTE(SUBSTITUTE(dados_coletados!I403, " Da ", " da "), " De ", " de "), " Do ", " do ")</f>
        <v/>
      </c>
    </row>
    <row r="406" spans="9:9" ht="15.75" x14ac:dyDescent="0.25">
      <c r="I406" s="6" t="str">
        <f>SUBSTITUTE(SUBSTITUTE(SUBSTITUTE(dados_coletados!I404, " Da ", " da "), " De ", " de "), " Do ", " do ")</f>
        <v/>
      </c>
    </row>
    <row r="407" spans="9:9" ht="15.75" x14ac:dyDescent="0.25">
      <c r="I407" s="6" t="str">
        <f>SUBSTITUTE(SUBSTITUTE(SUBSTITUTE(dados_coletados!I405, " Da ", " da "), " De ", " de "), " Do ", " do ")</f>
        <v/>
      </c>
    </row>
    <row r="408" spans="9:9" ht="15.75" x14ac:dyDescent="0.25">
      <c r="I408" s="6" t="str">
        <f>SUBSTITUTE(SUBSTITUTE(SUBSTITUTE(dados_coletados!I406, " Da ", " da "), " De ", " de "), " Do ", " do ")</f>
        <v/>
      </c>
    </row>
    <row r="409" spans="9:9" ht="15.75" x14ac:dyDescent="0.25">
      <c r="I409" s="6" t="str">
        <f>SUBSTITUTE(SUBSTITUTE(SUBSTITUTE(dados_coletados!I407, " Da ", " da "), " De ", " de "), " Do ", " do ")</f>
        <v/>
      </c>
    </row>
    <row r="410" spans="9:9" ht="15.75" x14ac:dyDescent="0.25">
      <c r="I410" s="6" t="str">
        <f>SUBSTITUTE(SUBSTITUTE(SUBSTITUTE(dados_coletados!I408, " Da ", " da "), " De ", " de "), " Do ", " do ")</f>
        <v/>
      </c>
    </row>
    <row r="411" spans="9:9" ht="15.75" x14ac:dyDescent="0.25">
      <c r="I411" s="6" t="str">
        <f>SUBSTITUTE(SUBSTITUTE(SUBSTITUTE(dados_coletados!I409, " Da ", " da "), " De ", " de "), " Do ", " do ")</f>
        <v/>
      </c>
    </row>
    <row r="412" spans="9:9" ht="15.75" x14ac:dyDescent="0.25">
      <c r="I412" s="6" t="str">
        <f>SUBSTITUTE(SUBSTITUTE(SUBSTITUTE(dados_coletados!I410, " Da ", " da "), " De ", " de "), " Do ", " do ")</f>
        <v/>
      </c>
    </row>
    <row r="413" spans="9:9" ht="15.75" x14ac:dyDescent="0.25">
      <c r="I413" s="6" t="str">
        <f>SUBSTITUTE(SUBSTITUTE(SUBSTITUTE(dados_coletados!I411, " Da ", " da "), " De ", " de "), " Do ", " do ")</f>
        <v/>
      </c>
    </row>
    <row r="414" spans="9:9" ht="15.75" x14ac:dyDescent="0.25">
      <c r="I414" s="6" t="str">
        <f>SUBSTITUTE(SUBSTITUTE(SUBSTITUTE(dados_coletados!I412, " Da ", " da "), " De ", " de "), " Do ", " do ")</f>
        <v/>
      </c>
    </row>
    <row r="415" spans="9:9" ht="15.75" x14ac:dyDescent="0.25">
      <c r="I415" s="6" t="str">
        <f>SUBSTITUTE(SUBSTITUTE(SUBSTITUTE(dados_coletados!I413, " Da ", " da "), " De ", " de "), " Do ", " do ")</f>
        <v/>
      </c>
    </row>
    <row r="416" spans="9:9" ht="15.75" x14ac:dyDescent="0.25">
      <c r="I416" s="6" t="str">
        <f>SUBSTITUTE(SUBSTITUTE(SUBSTITUTE(dados_coletados!I414, " Da ", " da "), " De ", " de "), " Do ", " do ")</f>
        <v/>
      </c>
    </row>
    <row r="417" spans="9:9" ht="15.75" x14ac:dyDescent="0.25">
      <c r="I417" s="6" t="str">
        <f>SUBSTITUTE(SUBSTITUTE(SUBSTITUTE(dados_coletados!I415, " Da ", " da "), " De ", " de "), " Do ", " do ")</f>
        <v/>
      </c>
    </row>
    <row r="418" spans="9:9" ht="15.75" x14ac:dyDescent="0.25">
      <c r="I418" s="6" t="str">
        <f>SUBSTITUTE(SUBSTITUTE(SUBSTITUTE(dados_coletados!I416, " Da ", " da "), " De ", " de "), " Do ", " do ")</f>
        <v/>
      </c>
    </row>
    <row r="419" spans="9:9" ht="15.75" x14ac:dyDescent="0.25">
      <c r="I419" s="6" t="str">
        <f>SUBSTITUTE(SUBSTITUTE(SUBSTITUTE(dados_coletados!I417, " Da ", " da "), " De ", " de "), " Do ", " do ")</f>
        <v/>
      </c>
    </row>
    <row r="420" spans="9:9" ht="15.75" x14ac:dyDescent="0.25">
      <c r="I420" s="6" t="str">
        <f>SUBSTITUTE(SUBSTITUTE(SUBSTITUTE(dados_coletados!I418, " Da ", " da "), " De ", " de "), " Do ", " do ")</f>
        <v/>
      </c>
    </row>
    <row r="421" spans="9:9" ht="15.75" x14ac:dyDescent="0.25">
      <c r="I421" s="6" t="str">
        <f>SUBSTITUTE(SUBSTITUTE(SUBSTITUTE(dados_coletados!I419, " Da ", " da "), " De ", " de "), " Do ", " do ")</f>
        <v/>
      </c>
    </row>
    <row r="422" spans="9:9" ht="15.75" x14ac:dyDescent="0.25">
      <c r="I422" s="6" t="str">
        <f>SUBSTITUTE(SUBSTITUTE(SUBSTITUTE(dados_coletados!I420, " Da ", " da "), " De ", " de "), " Do ", " do ")</f>
        <v/>
      </c>
    </row>
    <row r="423" spans="9:9" ht="15.75" x14ac:dyDescent="0.25">
      <c r="I423" s="6" t="str">
        <f>SUBSTITUTE(SUBSTITUTE(SUBSTITUTE(dados_coletados!I421, " Da ", " da "), " De ", " de "), " Do ", " do ")</f>
        <v/>
      </c>
    </row>
    <row r="424" spans="9:9" ht="15.75" x14ac:dyDescent="0.25">
      <c r="I424" s="6" t="str">
        <f>SUBSTITUTE(SUBSTITUTE(SUBSTITUTE(dados_coletados!I422, " Da ", " da "), " De ", " de "), " Do ", " do ")</f>
        <v/>
      </c>
    </row>
    <row r="425" spans="9:9" ht="15.75" x14ac:dyDescent="0.25">
      <c r="I425" s="6" t="str">
        <f>SUBSTITUTE(SUBSTITUTE(SUBSTITUTE(dados_coletados!I423, " Da ", " da "), " De ", " de "), " Do ", " do ")</f>
        <v/>
      </c>
    </row>
    <row r="426" spans="9:9" ht="15.75" x14ac:dyDescent="0.25">
      <c r="I426" s="6" t="str">
        <f>SUBSTITUTE(SUBSTITUTE(SUBSTITUTE(dados_coletados!I424, " Da ", " da "), " De ", " de "), " Do ", " do ")</f>
        <v/>
      </c>
    </row>
    <row r="427" spans="9:9" ht="15.75" x14ac:dyDescent="0.25">
      <c r="I427" s="6" t="str">
        <f>SUBSTITUTE(SUBSTITUTE(SUBSTITUTE(dados_coletados!I425, " Da ", " da "), " De ", " de "), " Do ", " do ")</f>
        <v/>
      </c>
    </row>
    <row r="428" spans="9:9" ht="15.75" x14ac:dyDescent="0.25">
      <c r="I428" s="6" t="str">
        <f>SUBSTITUTE(SUBSTITUTE(SUBSTITUTE(dados_coletados!I426, " Da ", " da "), " De ", " de "), " Do ", " do ")</f>
        <v/>
      </c>
    </row>
    <row r="429" spans="9:9" ht="15.75" x14ac:dyDescent="0.25">
      <c r="I429" s="6" t="str">
        <f>SUBSTITUTE(SUBSTITUTE(SUBSTITUTE(dados_coletados!I427, " Da ", " da "), " De ", " de "), " Do ", " do ")</f>
        <v/>
      </c>
    </row>
    <row r="430" spans="9:9" ht="15.75" x14ac:dyDescent="0.25">
      <c r="I430" s="6" t="str">
        <f>SUBSTITUTE(SUBSTITUTE(SUBSTITUTE(dados_coletados!I428, " Da ", " da "), " De ", " de "), " Do ", " do ")</f>
        <v/>
      </c>
    </row>
    <row r="431" spans="9:9" ht="15.75" x14ac:dyDescent="0.25">
      <c r="I431" s="6" t="str">
        <f>SUBSTITUTE(SUBSTITUTE(SUBSTITUTE(dados_coletados!I429, " Da ", " da "), " De ", " de "), " Do ", " do ")</f>
        <v/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dados_coletados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Tarcisio Almeida</dc:creator>
  <cp:lastModifiedBy>Tarcisio Almeida</cp:lastModifiedBy>
  <dcterms:created xsi:type="dcterms:W3CDTF">2024-10-19T12:34:39Z</dcterms:created>
  <dcterms:modified xsi:type="dcterms:W3CDTF">2024-10-19T18:39:19Z</dcterms:modified>
</cp:coreProperties>
</file>